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63304eb7cfd0b8/Documents/"/>
    </mc:Choice>
  </mc:AlternateContent>
  <xr:revisionPtr revIDLastSave="406" documentId="8_{42CE98DE-83E6-43A1-B45C-D72CB1E97D5C}" xr6:coauthVersionLast="47" xr6:coauthVersionMax="47" xr10:uidLastSave="{ECF36979-D5C0-4257-BF8C-52B04DFA362D}"/>
  <bookViews>
    <workbookView xWindow="-98" yWindow="-98" windowWidth="21795" windowHeight="12975" firstSheet="6" activeTab="15" xr2:uid="{4F98421E-D982-42BF-8899-8B4E32B6CCE6}"/>
  </bookViews>
  <sheets>
    <sheet name="Q10" sheetId="11" r:id="rId1"/>
    <sheet name="Dashboard" sheetId="1" r:id="rId2"/>
    <sheet name="Q09c" sheetId="10" r:id="rId3"/>
    <sheet name="Q09b" sheetId="9" r:id="rId4"/>
    <sheet name="pivot Q8" sheetId="12" r:id="rId5"/>
    <sheet name="Restock_Model" sheetId="13" r:id="rId6"/>
    <sheet name="Top20" sheetId="15" r:id="rId7"/>
    <sheet name="Sensitivity" sheetId="17" r:id="rId8"/>
    <sheet name="Q08" sheetId="8" r:id="rId9"/>
    <sheet name="Q06" sheetId="7" r:id="rId10"/>
    <sheet name="Q05a" sheetId="6" r:id="rId11"/>
    <sheet name="Q04b" sheetId="5" r:id="rId12"/>
    <sheet name="Q04a" sheetId="4" r:id="rId13"/>
    <sheet name="Q02" sheetId="3" r:id="rId14"/>
    <sheet name="Sheet3" sheetId="18" r:id="rId15"/>
    <sheet name="Q01a" sheetId="2" r:id="rId16"/>
  </sheets>
  <definedNames>
    <definedName name="ExternalData_1" localSheetId="15" hidden="1">Q01a!$A$1:$F$2</definedName>
    <definedName name="ExternalData_1" localSheetId="5" hidden="1">Restock_Model!$A$9:$I$226</definedName>
    <definedName name="ExternalData_10" localSheetId="0" hidden="1">'Q10'!$A$1:$I$218</definedName>
    <definedName name="ExternalData_2" localSheetId="13" hidden="1">'Q02'!$A$1:$H$15</definedName>
    <definedName name="ExternalData_3" localSheetId="12" hidden="1">Q04a!$A$1:$C$6</definedName>
    <definedName name="ExternalData_4" localSheetId="11" hidden="1">Q04b!$A$1:$C$67</definedName>
    <definedName name="ExternalData_5" localSheetId="10" hidden="1">Q05a!$A$1:$E$6</definedName>
    <definedName name="ExternalData_6" localSheetId="9" hidden="1">'Q06'!$A$1:$H$26</definedName>
    <definedName name="ExternalData_7" localSheetId="8" hidden="1">'Q08'!$A$1:$G$102</definedName>
    <definedName name="ExternalData_8" localSheetId="3" hidden="1">Q09b!$A$1:$H$1584</definedName>
    <definedName name="ExternalData_9" localSheetId="2" hidden="1">Q09c!$A$1:$E$4</definedName>
  </definedName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7" l="1"/>
  <c r="G4" i="17"/>
  <c r="G5" i="17"/>
  <c r="G6" i="17"/>
  <c r="G7" i="17"/>
  <c r="G8" i="17"/>
  <c r="G9" i="17"/>
  <c r="G10" i="17"/>
  <c r="G11" i="17"/>
  <c r="G2" i="17"/>
  <c r="F3" i="17"/>
  <c r="F4" i="17"/>
  <c r="F5" i="17"/>
  <c r="F6" i="17"/>
  <c r="F7" i="17"/>
  <c r="F8" i="17"/>
  <c r="F9" i="17"/>
  <c r="F10" i="17"/>
  <c r="F11" i="17"/>
  <c r="F2" i="17"/>
  <c r="O4" i="1"/>
  <c r="O6" i="1"/>
  <c r="P6" i="1"/>
  <c r="Q6" i="1"/>
  <c r="R6" i="1"/>
  <c r="S6" i="1"/>
  <c r="O7" i="1"/>
  <c r="O8" i="1"/>
  <c r="O9" i="1"/>
  <c r="O10" i="1"/>
  <c r="O11" i="1"/>
  <c r="O12" i="1"/>
  <c r="O13" i="1"/>
  <c r="O14" i="1"/>
  <c r="O15" i="1"/>
  <c r="O16" i="1"/>
  <c r="B4" i="1"/>
  <c r="K4" i="1"/>
  <c r="H4" i="1"/>
  <c r="E4" i="1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" i="15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B6" i="13"/>
  <c r="N226" i="13" l="1"/>
  <c r="N224" i="13"/>
  <c r="N225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83" i="13"/>
  <c r="N133" i="13"/>
  <c r="N136" i="13"/>
  <c r="N139" i="13"/>
  <c r="N142" i="13"/>
  <c r="N145" i="13"/>
  <c r="N148" i="13"/>
  <c r="N150" i="13"/>
  <c r="N152" i="13"/>
  <c r="N155" i="13"/>
  <c r="N158" i="13"/>
  <c r="N161" i="13"/>
  <c r="N164" i="13"/>
  <c r="N165" i="13"/>
  <c r="N168" i="13"/>
  <c r="N171" i="13"/>
  <c r="N174" i="13"/>
  <c r="N177" i="13"/>
  <c r="N180" i="13"/>
  <c r="N182" i="13"/>
  <c r="N184" i="13"/>
  <c r="N187" i="13"/>
  <c r="N190" i="13"/>
  <c r="N193" i="13"/>
  <c r="N196" i="13"/>
  <c r="N199" i="13"/>
  <c r="N202" i="13"/>
  <c r="N205" i="13"/>
  <c r="N208" i="13"/>
  <c r="N211" i="13"/>
  <c r="N214" i="13"/>
  <c r="N217" i="13"/>
  <c r="N220" i="13"/>
  <c r="N221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131" i="13"/>
  <c r="N134" i="13"/>
  <c r="N137" i="13"/>
  <c r="N140" i="13"/>
  <c r="N143" i="13"/>
  <c r="N146" i="13"/>
  <c r="N149" i="13"/>
  <c r="N153" i="13"/>
  <c r="N156" i="13"/>
  <c r="N159" i="13"/>
  <c r="N162" i="13"/>
  <c r="N167" i="13"/>
  <c r="N170" i="13"/>
  <c r="N173" i="13"/>
  <c r="N175" i="13"/>
  <c r="N178" i="13"/>
  <c r="N181" i="13"/>
  <c r="N186" i="13"/>
  <c r="N189" i="13"/>
  <c r="N192" i="13"/>
  <c r="N195" i="13"/>
  <c r="N198" i="13"/>
  <c r="N201" i="13"/>
  <c r="N204" i="13"/>
  <c r="N206" i="13"/>
  <c r="N210" i="13"/>
  <c r="N213" i="13"/>
  <c r="N215" i="13"/>
  <c r="N218" i="13"/>
  <c r="N22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2" i="13"/>
  <c r="N135" i="13"/>
  <c r="N138" i="13"/>
  <c r="N141" i="13"/>
  <c r="N144" i="13"/>
  <c r="N147" i="13"/>
  <c r="N151" i="13"/>
  <c r="N154" i="13"/>
  <c r="N157" i="13"/>
  <c r="N160" i="13"/>
  <c r="N163" i="13"/>
  <c r="N166" i="13"/>
  <c r="N169" i="13"/>
  <c r="N172" i="13"/>
  <c r="N176" i="13"/>
  <c r="N179" i="13"/>
  <c r="N183" i="13"/>
  <c r="N185" i="13"/>
  <c r="N188" i="13"/>
  <c r="N191" i="13"/>
  <c r="N194" i="13"/>
  <c r="N197" i="13"/>
  <c r="N200" i="13"/>
  <c r="N203" i="13"/>
  <c r="N207" i="13"/>
  <c r="N209" i="13"/>
  <c r="N212" i="13"/>
  <c r="N216" i="13"/>
  <c r="N219" i="13"/>
  <c r="N222" i="13"/>
  <c r="F3" i="15" l="1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" i="15"/>
  <c r="B20" i="15"/>
  <c r="B18" i="15"/>
  <c r="B15" i="15"/>
  <c r="B14" i="15"/>
  <c r="B12" i="15"/>
  <c r="B9" i="15"/>
  <c r="P14" i="1" s="1"/>
  <c r="B7" i="15"/>
  <c r="P12" i="1" s="1"/>
  <c r="B4" i="15"/>
  <c r="P9" i="1" s="1"/>
  <c r="C20" i="15"/>
  <c r="C18" i="15"/>
  <c r="C14" i="15"/>
  <c r="C11" i="15"/>
  <c r="Q16" i="1" s="1"/>
  <c r="C8" i="15"/>
  <c r="Q13" i="1" s="1"/>
  <c r="C5" i="15"/>
  <c r="Q10" i="1" s="1"/>
  <c r="C2" i="15"/>
  <c r="Q7" i="1" s="1"/>
  <c r="D19" i="15"/>
  <c r="D16" i="15"/>
  <c r="D13" i="15"/>
  <c r="D9" i="15"/>
  <c r="R14" i="1" s="1"/>
  <c r="D6" i="15"/>
  <c r="R11" i="1" s="1"/>
  <c r="D3" i="15"/>
  <c r="R8" i="1" s="1"/>
  <c r="E19" i="15"/>
  <c r="E16" i="15"/>
  <c r="E13" i="15"/>
  <c r="E10" i="15"/>
  <c r="S15" i="1" s="1"/>
  <c r="E6" i="15"/>
  <c r="S11" i="1" s="1"/>
  <c r="E3" i="15"/>
  <c r="S8" i="1" s="1"/>
  <c r="B21" i="15"/>
  <c r="B17" i="15"/>
  <c r="B16" i="15"/>
  <c r="B13" i="15"/>
  <c r="B11" i="15"/>
  <c r="P16" i="1" s="1"/>
  <c r="B8" i="15"/>
  <c r="P13" i="1" s="1"/>
  <c r="B6" i="15"/>
  <c r="P11" i="1" s="1"/>
  <c r="B3" i="15"/>
  <c r="P8" i="1" s="1"/>
  <c r="C21" i="15"/>
  <c r="C16" i="15"/>
  <c r="C13" i="15"/>
  <c r="C10" i="15"/>
  <c r="Q15" i="1" s="1"/>
  <c r="C7" i="15"/>
  <c r="Q12" i="1" s="1"/>
  <c r="C3" i="15"/>
  <c r="Q8" i="1" s="1"/>
  <c r="D21" i="15"/>
  <c r="D18" i="15"/>
  <c r="D14" i="15"/>
  <c r="D11" i="15"/>
  <c r="R16" i="1" s="1"/>
  <c r="D8" i="15"/>
  <c r="R13" i="1" s="1"/>
  <c r="D5" i="15"/>
  <c r="R10" i="1" s="1"/>
  <c r="E21" i="15"/>
  <c r="E18" i="15"/>
  <c r="E15" i="15"/>
  <c r="E12" i="15"/>
  <c r="E8" i="15"/>
  <c r="S13" i="1" s="1"/>
  <c r="E5" i="15"/>
  <c r="S10" i="1" s="1"/>
  <c r="B19" i="15"/>
  <c r="B10" i="15"/>
  <c r="P15" i="1" s="1"/>
  <c r="B5" i="15"/>
  <c r="P10" i="1" s="1"/>
  <c r="B2" i="15"/>
  <c r="P7" i="1" s="1"/>
  <c r="C19" i="15"/>
  <c r="C17" i="15"/>
  <c r="C15" i="15"/>
  <c r="C12" i="15"/>
  <c r="C9" i="15"/>
  <c r="Q14" i="1" s="1"/>
  <c r="C6" i="15"/>
  <c r="Q11" i="1" s="1"/>
  <c r="C4" i="15"/>
  <c r="Q9" i="1" s="1"/>
  <c r="D2" i="15"/>
  <c r="R7" i="1" s="1"/>
  <c r="D20" i="15"/>
  <c r="D17" i="15"/>
  <c r="D15" i="15"/>
  <c r="D12" i="15"/>
  <c r="D10" i="15"/>
  <c r="R15" i="1" s="1"/>
  <c r="D7" i="15"/>
  <c r="R12" i="1" s="1"/>
  <c r="D4" i="15"/>
  <c r="R9" i="1" s="1"/>
  <c r="E2" i="15"/>
  <c r="S7" i="1" s="1"/>
  <c r="E20" i="15"/>
  <c r="E17" i="15"/>
  <c r="E14" i="15"/>
  <c r="E11" i="15"/>
  <c r="S16" i="1" s="1"/>
  <c r="E9" i="15"/>
  <c r="S14" i="1" s="1"/>
  <c r="E7" i="15"/>
  <c r="S12" i="1" s="1"/>
  <c r="E4" i="15"/>
  <c r="S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54503-1919-4B3B-8F9C-F83E568053F7}" keepAlive="1" name="Query - Q01a_catalog" description="Connection to the 'Q01a_catalog' query in the workbook." type="5" refreshedVersion="8" background="1" saveData="1">
    <dbPr connection="Provider=Microsoft.Mashup.OleDb.1;Data Source=$Workbook$;Location=Q01a_catalog;Extended Properties=&quot;&quot;" command="SELECT * FROM [Q01a_catalog]"/>
  </connection>
  <connection id="2" xr16:uid="{7DEB47E9-40D1-4B71-AA7F-688C8EF131D4}" keepAlive="1" name="Query - Q02_oos_by_category" description="Connection to the 'Q02_oos_by_category' query in the workbook." type="5" refreshedVersion="8" background="1" saveData="1">
    <dbPr connection="Provider=Microsoft.Mashup.OleDb.1;Data Source=$Workbook$;Location=Q02_oos_by_category;Extended Properties=&quot;&quot;" command="SELECT * FROM [Q02_oos_by_category]"/>
  </connection>
  <connection id="3" xr16:uid="{06141BE8-92AF-4553-8BA7-751DE885A69C}" keepAlive="1" name="Query - Q04a_discount_bands" description="Connection to the 'Q04a_discount_bands' query in the workbook." type="5" refreshedVersion="8" background="1" saveData="1">
    <dbPr connection="Provider=Microsoft.Mashup.OleDb.1;Data Source=$Workbook$;Location=Q04a_discount_bands;Extended Properties=&quot;&quot;" command="SELECT * FROM [Q04a_discount_bands]"/>
  </connection>
  <connection id="4" xr16:uid="{8954D87F-B307-43F7-805D-5CE0C9615FE1}" keepAlive="1" name="Query - Q04b_discount_by_category" description="Connection to the 'Q04b_discount_by_category' query in the workbook." type="5" refreshedVersion="8" background="1" saveData="1">
    <dbPr connection="Provider=Microsoft.Mashup.OleDb.1;Data Source=$Workbook$;Location=Q04b_discount_by_category;Extended Properties=&quot;&quot;" command="SELECT * FROM [Q04b_discount_by_category]"/>
  </connection>
  <connection id="5" xr16:uid="{169758C3-71E4-4620-9901-C53470565DD4}" keepAlive="1" name="Query - Q05a_price_band" description="Connection to the 'Q05a_price_band' query in the workbook." type="5" refreshedVersion="8" background="1" saveData="1">
    <dbPr connection="Provider=Microsoft.Mashup.OleDb.1;Data Source=$Workbook$;Location=Q05a_price_band;Extended Properties=&quot;&quot;" command="SELECT * FROM [Q05a_price_band]"/>
  </connection>
  <connection id="6" xr16:uid="{F3E9D9AB-3391-45BD-A646-FA4C7F1AE61F}" keepAlive="1" name="Query - Q06_best_deals" description="Connection to the 'Q06_best_deals' query in the workbook." type="5" refreshedVersion="8" background="1" saveData="1">
    <dbPr connection="Provider=Microsoft.Mashup.OleDb.1;Data Source=$Workbook$;Location=Q06_best_deals;Extended Properties=&quot;&quot;" command="SELECT * FROM [Q06_best_deals]"/>
  </connection>
  <connection id="7" xr16:uid="{E41D5265-C8CE-440D-944F-01AB08178CFE}" keepAlive="1" name="Query - Q08_pack_ladder" description="Connection to the 'Q08_pack_ladder' query in the workbook." type="5" refreshedVersion="8" background="1" saveData="1">
    <dbPr connection="Provider=Microsoft.Mashup.OleDb.1;Data Source=$Workbook$;Location=Q08_pack_ladder;Extended Properties=&quot;&quot;" command="SELECT * FROM [Q08_pack_ladder]"/>
  </connection>
  <connection id="8" xr16:uid="{316916D6-0883-48B4-B2B1-DD6084B420C3}" keepAlive="1" name="Query - Q09b_abc_detail" description="Connection to the 'Q09b_abc_detail' query in the workbook." type="5" refreshedVersion="8" background="1" saveData="1">
    <dbPr connection="Provider=Microsoft.Mashup.OleDb.1;Data Source=$Workbook$;Location=Q09b_abc_detail;Extended Properties=&quot;&quot;" command="SELECT * FROM [Q09b_abc_detail]"/>
  </connection>
  <connection id="9" xr16:uid="{A0E2CB8D-7D7F-4DE6-B387-776A9F4C49B3}" keepAlive="1" name="Query - Q09c_abc_summary" description="Connection to the 'Q09c_abc_summary' query in the workbook." type="5" refreshedVersion="8" background="1" saveData="1">
    <dbPr connection="Provider=Microsoft.Mashup.OleDb.1;Data Source=$Workbook$;Location=Q09c_abc_summary;Extended Properties=&quot;&quot;" command="SELECT * FROM [Q09c_abc_summary]"/>
  </connection>
  <connection id="10" xr16:uid="{4BE57D2F-8C00-49B4-9E2C-218028535633}" keepAlive="1" name="Query - Q10_restock_candidates" description="Connection to the 'Q10_restock_candidates' query in the workbook." type="5" refreshedVersion="8" background="1" saveData="1">
    <dbPr connection="Provider=Microsoft.Mashup.OleDb.1;Data Source=$Workbook$;Location=Q10_restock_candidates;Extended Properties=&quot;&quot;" command="SELECT * FROM [Q10_restock_candidates]"/>
  </connection>
  <connection id="11" xr16:uid="{F510887C-DD2F-43C8-90DF-D5D1D9A9C16A}" keepAlive="1" name="Query - Q10_restock_candidates (2)" description="Connection to the 'Q10_restock_candidates (2)' query in the workbook." type="5" refreshedVersion="0" background="1" saveData="1">
    <dbPr connection="Provider=Microsoft.Mashup.OleDb.1;Data Source=$Workbook$;Location=&quot;Q10_restock_candidates (2)&quot;;Extended Properties=&quot;&quot;" command="SELECT * FROM [Q10_restock_candidates (2)]"/>
  </connection>
  <connection id="12" xr16:uid="{5DF320FA-1C82-483E-B760-4E6DEE3E7B80}" keepAlive="1" name="Query - Q10_restock_candidates (3)" description="Connection to the 'Q10_restock_candidates (3)' query in the workbook." type="5" refreshedVersion="8" background="1" saveData="1">
    <dbPr connection="Provider=Microsoft.Mashup.OleDb.1;Data Source=$Workbook$;Location=&quot;Q10_restock_candidates (3)&quot;;Extended Properties=&quot;&quot;" command="SELECT * FROM [Q10_restock_candidates (3)]"/>
  </connection>
</connections>
</file>

<file path=xl/sharedStrings.xml><?xml version="1.0" encoding="utf-8"?>
<sst xmlns="http://schemas.openxmlformats.org/spreadsheetml/2006/main" count="4542" uniqueCount="1793">
  <si>
    <t>total_listings</t>
  </si>
  <si>
    <t>unique_products</t>
  </si>
  <si>
    <t>avg_listings_per_product</t>
  </si>
  <si>
    <t>products_in_multiple_categories</t>
  </si>
  <si>
    <t>pct_multi_category</t>
  </si>
  <si>
    <t>max_categories_one_product</t>
  </si>
  <si>
    <t>category</t>
  </si>
  <si>
    <t>listings</t>
  </si>
  <si>
    <t>oos_listings</t>
  </si>
  <si>
    <t>oos_pct</t>
  </si>
  <si>
    <t>pp_vs_overall</t>
  </si>
  <si>
    <t>worst_rank</t>
  </si>
  <si>
    <t>pct_cross_listed</t>
  </si>
  <si>
    <t>label_quality</t>
  </si>
  <si>
    <t>Biscuits</t>
  </si>
  <si>
    <t>Reliable label</t>
  </si>
  <si>
    <t>Beverages</t>
  </si>
  <si>
    <t>Heavily duplicated</t>
  </si>
  <si>
    <t>Dairy, Bread &amp; Batter</t>
  </si>
  <si>
    <t>Meats, Fish &amp; Eggs</t>
  </si>
  <si>
    <t>Mixed</t>
  </si>
  <si>
    <t>Health &amp; Hygiene</t>
  </si>
  <si>
    <t>Munchies</t>
  </si>
  <si>
    <t>Cooking Essentials</t>
  </si>
  <si>
    <t>Ice Cream &amp; Desserts</t>
  </si>
  <si>
    <t>Chocolates &amp; Candies</t>
  </si>
  <si>
    <t>Packaged Food</t>
  </si>
  <si>
    <t>Home &amp; Cleaning</t>
  </si>
  <si>
    <t>Fruits &amp; Vegetables</t>
  </si>
  <si>
    <t>Personal Care</t>
  </si>
  <si>
    <t>Paan Corner</t>
  </si>
  <si>
    <t>discount_band</t>
  </si>
  <si>
    <t>products</t>
  </si>
  <si>
    <t>pct_of_products</t>
  </si>
  <si>
    <t>1. No discount</t>
  </si>
  <si>
    <t>2. 1-10%</t>
  </si>
  <si>
    <t>3. 11-20%</t>
  </si>
  <si>
    <t>4. 21-30%</t>
  </si>
  <si>
    <t>5. Above 30%</t>
  </si>
  <si>
    <t>price_band</t>
  </si>
  <si>
    <t>avg_discount_pct</t>
  </si>
  <si>
    <t>median_discount_pct</t>
  </si>
  <si>
    <t>pct_with_no_discount</t>
  </si>
  <si>
    <t>1. Under Rs100</t>
  </si>
  <si>
    <t>2. Rs100-249</t>
  </si>
  <si>
    <t>3. Rs250-499</t>
  </si>
  <si>
    <t>4. Rs500-999</t>
  </si>
  <si>
    <t>5. Rs1000+</t>
  </si>
  <si>
    <t>name</t>
  </si>
  <si>
    <t>mrp</t>
  </si>
  <si>
    <t>selling_price</t>
  </si>
  <si>
    <t>discount_percent</t>
  </si>
  <si>
    <t>rupees_saved</t>
  </si>
  <si>
    <t>pct_rank</t>
  </si>
  <si>
    <t>rupee_rank</t>
  </si>
  <si>
    <t>rank_jump</t>
  </si>
  <si>
    <t>Borges Extra Light Olive Oil Bottle</t>
  </si>
  <si>
    <t>Pampers Pants - Large</t>
  </si>
  <si>
    <t>Kelloggs Chocos - Moons &amp; Stars</t>
  </si>
  <si>
    <t>Pampers Active Baby Diapers New Born Extra Small</t>
  </si>
  <si>
    <t>Popular Essentials Californian Almond</t>
  </si>
  <si>
    <t>Dhara Health Refined Sun Flower Oil Jar</t>
  </si>
  <si>
    <t>Pampers Premium Care Pants - Large</t>
  </si>
  <si>
    <t>Pampers Premium Care Pants - Medium</t>
  </si>
  <si>
    <t>RRO Mascarpone Cheese</t>
  </si>
  <si>
    <t>Pampers Pants - Medium</t>
  </si>
  <si>
    <t>RRO Cheddar Block Cheese</t>
  </si>
  <si>
    <t>Praakritik Natural Desi Gir Cow A2 Ghee</t>
  </si>
  <si>
    <t>Moi Soi Kung Pao Sauce - For Stir Fry Marinade Spread &amp; Dip</t>
  </si>
  <si>
    <t>Moi Soi Sichuan Chilli Oil- For Stir Fry Marinade Spread &amp; Dip</t>
  </si>
  <si>
    <t>Moi Soi Manchurian Sauce - For Stir Fry Marinade Spread &amp; Dip</t>
  </si>
  <si>
    <t>Moi Soi  Black Bean Sauce - Dip Spread Stir Fry &amp; Marinade</t>
  </si>
  <si>
    <t>RRO Mozzarella Pizza Cheese</t>
  </si>
  <si>
    <t>RRO Sour Cream</t>
  </si>
  <si>
    <t>RRO Fresh Ricotta</t>
  </si>
  <si>
    <t>RRO Burrata Cheese</t>
  </si>
  <si>
    <t>Pampers All Round Protection Pants - Medium</t>
  </si>
  <si>
    <t>Fortune Rozana Basmati Rice</t>
  </si>
  <si>
    <t>Himalaya Anti Hair Fall Shampoo</t>
  </si>
  <si>
    <t>Ariel Matic Front Load Detergent Washing Powder</t>
  </si>
  <si>
    <t>Scotch Brite Multi-Purpose Sponge Wipes</t>
  </si>
  <si>
    <t>from_weight_g</t>
  </si>
  <si>
    <t>to_weight_g</t>
  </si>
  <si>
    <t>prev_price_per_100g</t>
  </si>
  <si>
    <t>price_per_100g</t>
  </si>
  <si>
    <t>change_pct</t>
  </si>
  <si>
    <t>verdict</t>
  </si>
  <si>
    <t>Godrej No.1 Bathing Soap – Lime &amp; Aloe Vera</t>
  </si>
  <si>
    <t>Bigger pack costs MORE</t>
  </si>
  <si>
    <t>Dove Daily Shine Shampoo</t>
  </si>
  <si>
    <t>Britannia Good Day Cashew Cookies</t>
  </si>
  <si>
    <t>Pillsbury Atta/Godihittu - Chakki Fresh</t>
  </si>
  <si>
    <t>Sunsilk Lusciously Thick &amp; Long Shampoo</t>
  </si>
  <si>
    <t>Pantene Advanced Hair Fall Solution Shampoo - Total Damage Care</t>
  </si>
  <si>
    <t>Pedigree Puppy Dry Dog Food Food Chicken &amp; Milk</t>
  </si>
  <si>
    <t>Lux International Creamy White Soap Bar</t>
  </si>
  <si>
    <t>Ariel Matic Top Load Detergent Washing Powder</t>
  </si>
  <si>
    <t>Fortune Soyabean Oil</t>
  </si>
  <si>
    <t>Britannia Good Day Pista Badam</t>
  </si>
  <si>
    <t>Smith &amp; Jones Masala Noodles</t>
  </si>
  <si>
    <t>Dove Daily Shine Conditioner</t>
  </si>
  <si>
    <t>Mother's Recipe Mixed Pickle</t>
  </si>
  <si>
    <t>Everest Kitchen King Masala</t>
  </si>
  <si>
    <t>Everest Pav Bhaji Masala</t>
  </si>
  <si>
    <t>Sugarfree Gold Low Calorie Sweetner</t>
  </si>
  <si>
    <t>Listerine Fresh Burst Mouthwash</t>
  </si>
  <si>
    <t>Kellogg's Real Almond &amp; Honey Corn Flakes</t>
  </si>
  <si>
    <t>Vim Dishwash Bar</t>
  </si>
  <si>
    <t>Dabur Ginger Garlic Paste</t>
  </si>
  <si>
    <t>Everest Shahi Biryani Masala</t>
  </si>
  <si>
    <t>Parle Hide &amp; Seek Choco Rolls</t>
  </si>
  <si>
    <t>Dove Hair Fall Rescue Shampoo</t>
  </si>
  <si>
    <t>Everest Coriander Powder</t>
  </si>
  <si>
    <t>Amul Delicious Fat Spread - Cholesterol Free</t>
  </si>
  <si>
    <t>Popular Essentials Toor Dal (Un-Polished)</t>
  </si>
  <si>
    <t>Pantai Green Curry Paste</t>
  </si>
  <si>
    <t>Amul Pure Ghee (Pouch)</t>
  </si>
  <si>
    <t>Nestle A+ Nourish Dahi</t>
  </si>
  <si>
    <t>Same rate</t>
  </si>
  <si>
    <t>Johnson's Baby Soap</t>
  </si>
  <si>
    <t>Britannia Burger Bun with Sesame Seed</t>
  </si>
  <si>
    <t>Lizol Disinfectant Surface &amp; Floor Cleaner Liquid Floral</t>
  </si>
  <si>
    <t>Bigger pack cheaper</t>
  </si>
  <si>
    <t>Everest Garam Masala</t>
  </si>
  <si>
    <t>Amul Butter - Pasteurised</t>
  </si>
  <si>
    <t>Tata Sampann Kala Chana</t>
  </si>
  <si>
    <t>Potato</t>
  </si>
  <si>
    <t>Ching's Secret Just Soak - Veg Hakka Noodles</t>
  </si>
  <si>
    <t>Everest Chicken Masala</t>
  </si>
  <si>
    <t>Head &amp; Shoulders Anti-Dandruff Smooth &amp; Silky Shampoo</t>
  </si>
  <si>
    <t>Pantai Red Curry Paste</t>
  </si>
  <si>
    <t>Quaker Oats</t>
  </si>
  <si>
    <t>Yummiez Green Peas</t>
  </si>
  <si>
    <t>Britannia Good Day Cashew Cookies Packet</t>
  </si>
  <si>
    <t>Lizol Double Concentrate Disinfectant Floor Cleaner Citrus</t>
  </si>
  <si>
    <t>Himalaya Baby Lotion</t>
  </si>
  <si>
    <t>Lotte Choco Pie</t>
  </si>
  <si>
    <t>Dabur Meswak Toothpaste</t>
  </si>
  <si>
    <t>Himalaya Gentle Baby Shampoo</t>
  </si>
  <si>
    <t>RRO Til Dil Premium Til Oil Bottle</t>
  </si>
  <si>
    <t>Onion</t>
  </si>
  <si>
    <t>Kellogg's Original Corn Flakes</t>
  </si>
  <si>
    <t>MTR Roasted Vermicelli</t>
  </si>
  <si>
    <t>Closeup Everfresh+ Anti-Germ Gel Toothpaste Red Hot</t>
  </si>
  <si>
    <t>Popular Essentials HMT Kolam Steam</t>
  </si>
  <si>
    <t>Popular Essentials Refined Sugar</t>
  </si>
  <si>
    <t>Arden Eggs White</t>
  </si>
  <si>
    <t>Everest Tandoori Chicken Masala</t>
  </si>
  <si>
    <t>Popular Essentials Ajwain Whole</t>
  </si>
  <si>
    <t>Johnson's Baby Oil</t>
  </si>
  <si>
    <t>Listerine Original Mouthwash</t>
  </si>
  <si>
    <t>Kellogg's Special K Original Corn Flakes</t>
  </si>
  <si>
    <t>Clean &amp; Clear Foaming Face Wash</t>
  </si>
  <si>
    <t>Britannia Toastea Premium Bake Rusk</t>
  </si>
  <si>
    <t>Himalaya Anti Dandruff Shampoo</t>
  </si>
  <si>
    <t>Nivea Soft Light Moisturizer for Face Hand &amp; Body Non-Sticky Cream with Vitamin E &amp; Jojoba Oil</t>
  </si>
  <si>
    <t>Fine Life Cotton Balls</t>
  </si>
  <si>
    <t>Johnson's Baby Powder</t>
  </si>
  <si>
    <t>Kellogg's Chocos</t>
  </si>
  <si>
    <t>Mother's Recipe Pickle - Mango</t>
  </si>
  <si>
    <t>Amul Fresh Cream</t>
  </si>
  <si>
    <t>Weikfield Baking Powder</t>
  </si>
  <si>
    <t>Beetroot</t>
  </si>
  <si>
    <t>Pillsbury Chakki Fresh Atta</t>
  </si>
  <si>
    <t>Surf Excel Quick Wash</t>
  </si>
  <si>
    <t>Om Bhakti Wick for Diya - Cotton Long Batti</t>
  </si>
  <si>
    <t>Amul Cheese Slices</t>
  </si>
  <si>
    <t>Carrot</t>
  </si>
  <si>
    <t>Himalaya Baby Powder</t>
  </si>
  <si>
    <t>Britannia Milk Bikis Cream Biscuit</t>
  </si>
  <si>
    <t>Zorabian Chicken Breast Boneless</t>
  </si>
  <si>
    <t>Smith &amp; Jones Pasta Masala</t>
  </si>
  <si>
    <t>Suguna Nourish Egg</t>
  </si>
  <si>
    <t>Ching's Secret Green Chilli Sauce</t>
  </si>
  <si>
    <t>Aashirvaad Suji Halwa With Jaggery</t>
  </si>
  <si>
    <t>Savlon Moisture Shield Hand Wash</t>
  </si>
  <si>
    <t>Whisper Choice Regular Sanitary Pads</t>
  </si>
  <si>
    <t>Johnson's Baby Skincare Wipes</t>
  </si>
  <si>
    <t>product_id</t>
  </si>
  <si>
    <t>available_quantity</t>
  </si>
  <si>
    <t>stock_value</t>
  </si>
  <si>
    <t>value_rank</t>
  </si>
  <si>
    <t>cumulative_pct</t>
  </si>
  <si>
    <t>abc_class</t>
  </si>
  <si>
    <t>A</t>
  </si>
  <si>
    <t>Saffola Gold (Jar)</t>
  </si>
  <si>
    <t>Dhara Kachi Ghani Mustard Oil Jar</t>
  </si>
  <si>
    <t>Fortune Rice Bran Health Oil (Jar)</t>
  </si>
  <si>
    <t>Dhara Filtered Groundnut Oil (Jar)</t>
  </si>
  <si>
    <t>Fortune Sunlite Refined Sunflower (Jar)</t>
  </si>
  <si>
    <t>Nestle Nestle Nan Pro Follow-Up Formula</t>
  </si>
  <si>
    <t>L'Oreal Paris Excellence Creme Hair Color, 3 Dark Brown/Natural Darkest Brown</t>
  </si>
  <si>
    <t>L'Oreal Paris Excellence Creme Hair Color, 4.25 Aishwarya's Brown</t>
  </si>
  <si>
    <t>Gowardhan Ghee Jar</t>
  </si>
  <si>
    <t>Gillette Mach 3 Turbo Cartridges</t>
  </si>
  <si>
    <t>L'Oreal Casting Creme Ebony Black Hair Color</t>
  </si>
  <si>
    <t>Gowardhan Cow Ghee Pouch</t>
  </si>
  <si>
    <t>Sunsilk Stunning Black Shine Shampoo</t>
  </si>
  <si>
    <t>Amul Ghee (Tin)</t>
  </si>
  <si>
    <t>Surf Excel Matic Front Load Detergent Powder</t>
  </si>
  <si>
    <t>Bagrry's Fruit Fibre Muesli Mixed Fruit</t>
  </si>
  <si>
    <t>Saffola Gold Refined Cooking Oil (Jar)</t>
  </si>
  <si>
    <t>Kellogg’s Chocos Protein And Fibre Of 1 Roti</t>
  </si>
  <si>
    <t>RRO Primio Refined Groundnut (Jar)</t>
  </si>
  <si>
    <t>Surf Excel Matic Top Load</t>
  </si>
  <si>
    <t>Delight Nuts Dried Blueberries</t>
  </si>
  <si>
    <t>24 Mantra Sona Masuri Brown Rice</t>
  </si>
  <si>
    <t>Bagrrys Fruit and Nut Muesli with Cranberries</t>
  </si>
  <si>
    <t>Whisper Ultra Clean Wings XL+  Pouch</t>
  </si>
  <si>
    <t>Kellogg's Crunchy Fruit &amp; Nut Breakfast Cereals Muesli</t>
  </si>
  <si>
    <t>Aashirvaad Atta</t>
  </si>
  <si>
    <t>Borges Canola Oil Pet Bottle</t>
  </si>
  <si>
    <t>Organic India Organic Chyawanprash</t>
  </si>
  <si>
    <t>Dabur 100% Pure Honey - Worlds No.1</t>
  </si>
  <si>
    <t>Popular Essentials Classic Sona Masuri Rice</t>
  </si>
  <si>
    <t>Whiskas Adult (+1 Year) Dry Cat Food, Ocean Fish Flavour</t>
  </si>
  <si>
    <t>Dabur Chyawanprakash - Sugar Free</t>
  </si>
  <si>
    <t>24 Mantra Groundnut Oil (Cold Pressed) Pet Bottle</t>
  </si>
  <si>
    <t>Indulekha Bhringa Hair Oil</t>
  </si>
  <si>
    <t>L'Oreal Paris Casting Creme Gloss Hair Color (Dark Brown 400)</t>
  </si>
  <si>
    <t>L'Oreal Paris Casting Creme Gloss Hair Color, Medium Brown 500</t>
  </si>
  <si>
    <t>Mamaearth Onion Hair Oil</t>
  </si>
  <si>
    <t>Bagrrys Corn Flakes</t>
  </si>
  <si>
    <t>Origami So Soft Tissue Roll 3 Ply</t>
  </si>
  <si>
    <t>Bombay Shaving Company Defender Razor</t>
  </si>
  <si>
    <t>Delight Nuts Cashew Roasted &amp; Salted</t>
  </si>
  <si>
    <t>Delight Nuts Pista Roasted &amp; Salted</t>
  </si>
  <si>
    <t>Head &amp; Shoulders 2-in-1 Active Protect Shampoo</t>
  </si>
  <si>
    <t>Dabur Chyawanprash</t>
  </si>
  <si>
    <t>Head &amp; Shoulders 2 In 1 Anti Dandruff Smooth &amp; Silky Shampoo+Conditioner</t>
  </si>
  <si>
    <t>Bagrrys Fruit N Fibre Muesli Mixed Fruit</t>
  </si>
  <si>
    <t>ITC Master Chef Chicken Seekh Kabab</t>
  </si>
  <si>
    <t>Philips Stellar Bright 16W Light Bulb</t>
  </si>
  <si>
    <t>Whisper Ultra Soft XL+ Sanitary Pads</t>
  </si>
  <si>
    <t>Kellogg's Muesli 20% Nuts Delight</t>
  </si>
  <si>
    <t>Genteel Liquid Detegrent</t>
  </si>
  <si>
    <t>Delight Nuts Berries Mix</t>
  </si>
  <si>
    <t>Nivea Body Milk Lotion for Very Dry Skin</t>
  </si>
  <si>
    <t>Super Saver Kolam Rice Sortex Clean</t>
  </si>
  <si>
    <t>24 Mantra Mustard Oil (Cold Pressed)</t>
  </si>
  <si>
    <t>Kellogg's Almonds And Cranberries Granola</t>
  </si>
  <si>
    <t>Popular Essentials Pista Salted (With Shell)</t>
  </si>
  <si>
    <t>Gowardhan Ghee/Tuppa Jar</t>
  </si>
  <si>
    <t>Yoga Bar Breakfast Muesli - Almond Caramel (No Added Sugar)</t>
  </si>
  <si>
    <t>Yoga Bar Breakfast Muesli - Chocolate &amp; Cranberry</t>
  </si>
  <si>
    <t>Gillette Mach 3 Mens Razor Blades</t>
  </si>
  <si>
    <t>Durex Mutual Climax Condoms</t>
  </si>
  <si>
    <t>New Kellogg's Muesli with 21% Fruit, Nut &amp; Seeds</t>
  </si>
  <si>
    <t>Delight Nuts Trail Mix</t>
  </si>
  <si>
    <t>Kellogg's No Added Sugar Muesli</t>
  </si>
  <si>
    <t>Stayfree Dry Max All Night XL Dry Cover Sanitary Pads</t>
  </si>
  <si>
    <t>Ferrero Nutella Hazeulnut Spread</t>
  </si>
  <si>
    <t>Bagrrys Muesli Crunchy Fruit &amp; Nut With Cranberries</t>
  </si>
  <si>
    <t>Scotch Brite Sponge Wipe</t>
  </si>
  <si>
    <t>Betty Crocker Chocolate Fudge Cake Mix</t>
  </si>
  <si>
    <t>Aashirvaad Svasti Cow Ghee Tetra Pack</t>
  </si>
  <si>
    <t>Epicurea Sushi Rice</t>
  </si>
  <si>
    <t>Prasuma Momos -  Cheesy Spicy Veg</t>
  </si>
  <si>
    <t>Kelloggs Chocos Moon &amp; Stars</t>
  </si>
  <si>
    <t>Nestle Ceregrow Multigrain Cereal with Milk and Fruits - 3 to 6 years</t>
  </si>
  <si>
    <t>Lizol Double Concentrate Disinfectant Floor Cleaner Lavender</t>
  </si>
  <si>
    <t>24 Mantra Sunflower Oil (Cold Pressed) Pet Bottle</t>
  </si>
  <si>
    <t>Whiskas Kitten (2-12 months) Dry Cat Food Food Ocean Fish</t>
  </si>
  <si>
    <t>Nestle Cerelac 5 Grains &amp; Fruits Cereal</t>
  </si>
  <si>
    <t>Nivea Body Shea Smooth with Shea Butter for Dry Skin</t>
  </si>
  <si>
    <t>Aashirvaad Select Sharbati Atta</t>
  </si>
  <si>
    <t>Popular Essentials Cashew Split</t>
  </si>
  <si>
    <t>Gowardhan Pure Ghee Pouch</t>
  </si>
  <si>
    <t>Delight Nuts Almond Natural</t>
  </si>
  <si>
    <t>Pond's Light Moisturiser</t>
  </si>
  <si>
    <t>Betty Crocker French Vanilla Cake Mix</t>
  </si>
  <si>
    <t>Pantai Teriyaki Sauce with Garlic</t>
  </si>
  <si>
    <t>L'Oreal Paris Shine Masque Royal Jelly Hair Colour</t>
  </si>
  <si>
    <t>L'Oreal Paris Excellence Creme Hair Color, 3.16 Burgundy</t>
  </si>
  <si>
    <t>Delight Nuts Dried Cranberries</t>
  </si>
  <si>
    <t>Gillette Mach 3 Turbo Razor</t>
  </si>
  <si>
    <t>Soulfull Millet Muesli Fruit &amp; Nut Almonds &amp; Real Fruits</t>
  </si>
  <si>
    <t>Hit Lime Fresh Flying Insect Killer</t>
  </si>
  <si>
    <t>Godrej Yummiez Chicken Punjabi Tikka</t>
  </si>
  <si>
    <t>Japanese Choice Udon Noodles</t>
  </si>
  <si>
    <t>Head &amp; Shoulders Anti Dandruff Shampoo Cool Menthol</t>
  </si>
  <si>
    <t>Origami Kitchen Towels 4 in 1 60 Pulls 2 Ply</t>
  </si>
  <si>
    <t>Ariel Complete Detergent Washing Powder 1 kg + 500 g Free</t>
  </si>
  <si>
    <t>Nestle Cerelac Baby Cereal With Milk Wheat-Rice Mixed Fruit</t>
  </si>
  <si>
    <t>Fiama Gel Bar Celebration Pack Buy 4 Get 1 Free</t>
  </si>
  <si>
    <t>Popular Essentials Rozana Sona Masuri Raw Rice</t>
  </si>
  <si>
    <t>Popular Essentials Poppy Seeds (Gasagase)</t>
  </si>
  <si>
    <t>The Whole Truth - Nuts, Fruits &amp; Seeds Muesli</t>
  </si>
  <si>
    <t>The Whole Truth - 5 Grain Muesli No Added Sugar</t>
  </si>
  <si>
    <t>Ariel Matic Front Load Detergent Powder</t>
  </si>
  <si>
    <t>Kapiva Thar Aloe Vera Juice</t>
  </si>
  <si>
    <t>Mortein Dual All Insect Killer Spray</t>
  </si>
  <si>
    <t>Mangalam Camphor Tablet Jar</t>
  </si>
  <si>
    <t>Remia Salad Caesar Dressing</t>
  </si>
  <si>
    <t>Fogg Paradise Fragrant Body Spray For Women</t>
  </si>
  <si>
    <t>Surf Excel Matic Powder Front Load</t>
  </si>
  <si>
    <t>Ariel Matic Liquid Detergent Front Load</t>
  </si>
  <si>
    <t>Gillette Mach 3 Start</t>
  </si>
  <si>
    <t>Amulya Dairy Whitener</t>
  </si>
  <si>
    <t>Quaker Oats Pouch</t>
  </si>
  <si>
    <t>Godrej Real Good Chicken Breast Boneless</t>
  </si>
  <si>
    <t>Dettol Intense Cool Soap (B4G1)</t>
  </si>
  <si>
    <t>Dettol Original Soap (B4G1)</t>
  </si>
  <si>
    <t>Nivea Body Lotion Aloe Hydration For Normal Skin</t>
  </si>
  <si>
    <t>Moov Pain Releiver Spray</t>
  </si>
  <si>
    <t>Aashirvaad Superior MP Atta</t>
  </si>
  <si>
    <t>Pillsbury Atta With Multigrains Wheat Grains</t>
  </si>
  <si>
    <t>Pantai Spring Roll Sauce</t>
  </si>
  <si>
    <t>Pantai Pad Thai Sauce (Non-Veg)</t>
  </si>
  <si>
    <t>Amul Cheese - Block</t>
  </si>
  <si>
    <t>Kelloggs Muesli - With 22% Fruit Magic</t>
  </si>
  <si>
    <t>Origami Paper Party Plates</t>
  </si>
  <si>
    <t>Delight Nuts Cranberries Sliced</t>
  </si>
  <si>
    <t>Oleev Active Oil (Pouch)</t>
  </si>
  <si>
    <t>Amul Unsalted Cooking Butter</t>
  </si>
  <si>
    <t>Head &amp; Shoulders Anti Dandruff Anti Hairfall Shampoo</t>
  </si>
  <si>
    <t>Go Cheese Processed Block</t>
  </si>
  <si>
    <t>RRO Goat Milk Fetta Cheee</t>
  </si>
  <si>
    <t>Happilo Premium 100% Natural Whole Cashews</t>
  </si>
  <si>
    <t>Pantai Fish Sauce</t>
  </si>
  <si>
    <t>Pantai Chilli Garlic Sauce</t>
  </si>
  <si>
    <t>Pantai Dark Soy Sauce</t>
  </si>
  <si>
    <t>Pantai Sweet Chilli Sauce</t>
  </si>
  <si>
    <t>Pantai Hot Chilli Sauce</t>
  </si>
  <si>
    <t>Gillete Mach3</t>
  </si>
  <si>
    <t>Origami Good Karma Toilet Roll</t>
  </si>
  <si>
    <t>Nestle Cerelac Baby Cereal with Milk 5 Grains &amp; Vegetables from 18 to 24 Month</t>
  </si>
  <si>
    <t>MamyPoko Pants Extra Absorb Diapers, New Born</t>
  </si>
  <si>
    <t>Amul Safed Makkhan</t>
  </si>
  <si>
    <t>Remia Mayonnaise</t>
  </si>
  <si>
    <t>Remia Salad Italian Dressing</t>
  </si>
  <si>
    <t>Himalaya Purifying Neem Face Wash Tube</t>
  </si>
  <si>
    <t>Mamaearth Ubtan Body Lotion</t>
  </si>
  <si>
    <t>Prasuma Vegetable Momos</t>
  </si>
  <si>
    <t>Dettol Clinical Strength Hand Sanitizer Liquid</t>
  </si>
  <si>
    <t>Lakme Sun Expert</t>
  </si>
  <si>
    <t>Gillette Pre Shave Foam - Classic Regular Skin</t>
  </si>
  <si>
    <t>Organic India Sugar Balance 60 Capsules Bottle</t>
  </si>
  <si>
    <t>Clinic Plus Strong &amp; Long Health Shampoo</t>
  </si>
  <si>
    <t>Dabur Chyawanprakash Sugar Free</t>
  </si>
  <si>
    <t>Kellogg's Real Honey Corn Flakes</t>
  </si>
  <si>
    <t>Tong Garden Salted Cocktail Nuts</t>
  </si>
  <si>
    <t>Dove Pink Rosa Beauty Bathing Bar</t>
  </si>
  <si>
    <t>Surf Excel Matic Front Load Detergent Liquid</t>
  </si>
  <si>
    <t>Durex Air Ultra Thin Condom</t>
  </si>
  <si>
    <t>Fortune Sunlite Refined Sunflower (Pouch)</t>
  </si>
  <si>
    <t>Veet Full Body Waxing Kit For Dry Skin</t>
  </si>
  <si>
    <t>Veet Full Body Waxing Kit</t>
  </si>
  <si>
    <t>Vaseline Intensive Care Deep Moisture Body Lotion</t>
  </si>
  <si>
    <t>Saffola Gold Oil (Pouch)</t>
  </si>
  <si>
    <t>Pampers Premium Care New Baby Pants</t>
  </si>
  <si>
    <t>Cantina Beans Mexican Beans</t>
  </si>
  <si>
    <t>Everest Tikhalal Chilli Powder</t>
  </si>
  <si>
    <t>Dove Cream Beauty Bathing Bar</t>
  </si>
  <si>
    <t>Kapiva Wild Amla Juice</t>
  </si>
  <si>
    <t>Cadbury Cocoa Powder</t>
  </si>
  <si>
    <t>Tide Plus Extra Power Lemon &amp; Mint Detergent Powder</t>
  </si>
  <si>
    <t>Organic India Wheat Grass</t>
  </si>
  <si>
    <t>Saffola Active Oil</t>
  </si>
  <si>
    <t>Axe Pulse Men's Deodorant</t>
  </si>
  <si>
    <t>Whisper Ultra Soft Air Fresh Sanitary Pads (XL) with Wings</t>
  </si>
  <si>
    <t>Borges Farfalle Durum Wheat Pasta</t>
  </si>
  <si>
    <t>Yummiez Chicken Garlic Fingers Pouch</t>
  </si>
  <si>
    <t>Fogg Master - Royal Intense</t>
  </si>
  <si>
    <t>24 Mantra Organic Tur Dal</t>
  </si>
  <si>
    <t>Satyam Makhana</t>
  </si>
  <si>
    <t>Yogabar 100% Pure Peanut Butter Creamy &amp; Yummy Unsweetened</t>
  </si>
  <si>
    <t>Nivea Cocoa Nourish Body Lotion With Coconut Oil &amp; Cocoa Butter For Very Dry Skin</t>
  </si>
  <si>
    <t>Hershey's Chocolate Flavour Syrup</t>
  </si>
  <si>
    <t>Everest Kesari Milk Masala</t>
  </si>
  <si>
    <t>Durex Extra Time Condoms</t>
  </si>
  <si>
    <t>Durex Extra Thin Condoms</t>
  </si>
  <si>
    <t>Durex Extra Dots Condoms</t>
  </si>
  <si>
    <t>Pediasure Premium Chocolate Powdered Health Drink</t>
  </si>
  <si>
    <t>Dhara Groundnut Oil (Pouch)</t>
  </si>
  <si>
    <t>Vaseline Intensive Care Aloe Fresh</t>
  </si>
  <si>
    <t>Pedigree Dog Food Adult Meat &amp; Rice</t>
  </si>
  <si>
    <t>Hershey's Chocolate Milk Booster</t>
  </si>
  <si>
    <t>Ching's Secret Noodles - Pad Thai Original</t>
  </si>
  <si>
    <t>Ching's Secret  Pad Thai Noodles Green Curry</t>
  </si>
  <si>
    <t>Ching's Secret Pad Thai Noodles - Extra Hot Thai Chilli</t>
  </si>
  <si>
    <t>Fortune Rice Bran (Pouch)</t>
  </si>
  <si>
    <t>Fortune Kachi Ghani Mustard Oil Bottle</t>
  </si>
  <si>
    <t>Dhara Nourish Refined Sunflower Oil Pouch</t>
  </si>
  <si>
    <t>L'Oreal Paris Total Repair 5 Conditioner</t>
  </si>
  <si>
    <t>Mamaearth Daily Moisturizing Lotion For Babies</t>
  </si>
  <si>
    <t>L'Oreal Anti Hair Fall Conditioner</t>
  </si>
  <si>
    <t>Nupur Heena Mehandi</t>
  </si>
  <si>
    <t>Palmolive Feel The Massage Shower Gel</t>
  </si>
  <si>
    <t>Dabur Amla Juice</t>
  </si>
  <si>
    <t>Popular Essentials Green Cardamom (Elaichi)</t>
  </si>
  <si>
    <t>Philips EyePro 10.5W Light Bulb</t>
  </si>
  <si>
    <t>Epicurea Thai Jasmine Rice</t>
  </si>
  <si>
    <t>Pantai Light Soy Sauce</t>
  </si>
  <si>
    <t>The Whole Truth Peanut Butter With Dates - Creamy No Sugar</t>
  </si>
  <si>
    <t>Engage M1 Perfume Spray for Men</t>
  </si>
  <si>
    <t>Amul Spray Infant Milk Food</t>
  </si>
  <si>
    <t>Kellogg's Muesli Nuts Delight</t>
  </si>
  <si>
    <t>Pantai Sriracha Red Chilli Sauce</t>
  </si>
  <si>
    <t>Pantai Sriracha Yellow Chilli Sauce</t>
  </si>
  <si>
    <t>Pantai Sriracha Green Chilli Sauce</t>
  </si>
  <si>
    <t>Dhara Life Refined Ricebran Oil (Pouch)</t>
  </si>
  <si>
    <t>Nestle Cerelac Wheat - Stage 1</t>
  </si>
  <si>
    <t>Glow &amp; Lovely Advanced Multivitamin Face Cream</t>
  </si>
  <si>
    <t>Tresemme Keratin Smooth Conditioner</t>
  </si>
  <si>
    <t>Dlecta Natural Cheddar Slices</t>
  </si>
  <si>
    <t>D'lecta Cheddar Cheese</t>
  </si>
  <si>
    <t>Savlon Moisture Shield Germ Protection Handwash Refill (Buy 1 Get 1 Free)</t>
  </si>
  <si>
    <t>Eveready Ultima Alkaline AA Cell Battery-6 Pc Pack</t>
  </si>
  <si>
    <t>Lizol Disinfectant Surface &amp; Floor Cleaner Liquid Pine</t>
  </si>
  <si>
    <t>TRESemme Smooth And Shine Conditioner</t>
  </si>
  <si>
    <t>Dabur Ayurvedic Tulsi Drops (Immunity Booster)</t>
  </si>
  <si>
    <t>Godrej Real Good Chicken Whole Pre-Cut</t>
  </si>
  <si>
    <t>Engage M4 Perfume Spray For Men</t>
  </si>
  <si>
    <t>Sebamed Anti - Dandruff Shampoo</t>
  </si>
  <si>
    <t>Engage M2 Perfume Spray For Men</t>
  </si>
  <si>
    <t>Johnson's Baby Shampoo</t>
  </si>
  <si>
    <t>Santoor Total Skin Care Soap With Sandal &amp; Turmeric</t>
  </si>
  <si>
    <t>Fiama Lemongrass and Jojoba Shower Gel</t>
  </si>
  <si>
    <t>Oxi Green Phenyl Concentrate</t>
  </si>
  <si>
    <t>Maggi Magic Cubes Extra Chicken</t>
  </si>
  <si>
    <t>Figaro Sliced Black Olive</t>
  </si>
  <si>
    <t>Figaro Plain Green Olive</t>
  </si>
  <si>
    <t>Figaro Pitted Black Olive</t>
  </si>
  <si>
    <t>Fiama Di Wills Shower Gel Patchouli &amp; Macadamia</t>
  </si>
  <si>
    <t>Fiama Men's Refreshing Pulse Shower Gel</t>
  </si>
  <si>
    <t>Harpic Disinfectant Bathroom Cleaner Liquid Lemon</t>
  </si>
  <si>
    <t>Om Bhakti - Pancha Deepa Oil</t>
  </si>
  <si>
    <t>Organic India Apple Cider Vinegar</t>
  </si>
  <si>
    <t>Betty Crocker Mug Treats - Chocolate Mix - Pack of 4</t>
  </si>
  <si>
    <t>Tong Garden Wasabi Coated Greenpeas Tin</t>
  </si>
  <si>
    <t>Chik Hairfall Prevent Egg Shampoo</t>
  </si>
  <si>
    <t>Pantene Hairfall Control Conditioner</t>
  </si>
  <si>
    <t>Harpic Disinfectant Toilet Cleaner Liquid, Original - 1 L</t>
  </si>
  <si>
    <t>Dabur Chyawanprash Immunity Booster</t>
  </si>
  <si>
    <t>MTR Instant Gulab Jamun Mix</t>
  </si>
  <si>
    <t>Engage Man Rush Deodorant</t>
  </si>
  <si>
    <t>Engage Deo Frost</t>
  </si>
  <si>
    <t>Hit Flower Lime Fragrance Insect Killer Spray</t>
  </si>
  <si>
    <t>Godrej Ezee Liquid Detergent</t>
  </si>
  <si>
    <t>Chakaachak Dust Proof Broom</t>
  </si>
  <si>
    <t>The Whole Truth Dark Chocolate Peanut Butter - Creamy</t>
  </si>
  <si>
    <t>Engage Drizzle Deodorant For Women, Floral And Lavender, Skin Friendly</t>
  </si>
  <si>
    <t>Engage Urge Deodorant For Men, Citrus And Woody, Skin Friendly</t>
  </si>
  <si>
    <t>Happilo Premium International Queen Kalmi Dates</t>
  </si>
  <si>
    <t>The Whole Truth Peanut Butter - Sweetened &amp; Crunchy</t>
  </si>
  <si>
    <t>Popular Essentials Popular Essential Pista Salted (With Shell)</t>
  </si>
  <si>
    <t>Saffola Everyday Peppy Tomato Masala Oats</t>
  </si>
  <si>
    <t>Kellogg's Crunchy Bites Chocos</t>
  </si>
  <si>
    <t>Kellogg's All Bran Wheat Flakes</t>
  </si>
  <si>
    <t>Head &amp; shoulders Anti Dandruff Shampoo Cool Menthol</t>
  </si>
  <si>
    <t>Origami Paper Plates</t>
  </si>
  <si>
    <t>Domex Disinfectant Floor Cleaner</t>
  </si>
  <si>
    <t>Om Bhakti Wick for Diya - Ghee Cotton Wicks Big</t>
  </si>
  <si>
    <t>Savlon Germ Protection Wipes</t>
  </si>
  <si>
    <t>Praakritik Organic Jumbo Rolled Oats</t>
  </si>
  <si>
    <t>Nivea Men Deodorant Fresh Active 48h Long lasting Freshness</t>
  </si>
  <si>
    <t>Engage Rush Deodorant For Men</t>
  </si>
  <si>
    <t>Nivea Lip Balm Soft Rose for 24h Moisture with Natural Oils Delicate Rose Shine</t>
  </si>
  <si>
    <t>Surf Excel Easy Wash Detergent Liquid</t>
  </si>
  <si>
    <t>Harpic Power Fresh 6 Toilet Cleaner Rim Block Floral Delight</t>
  </si>
  <si>
    <t>Dabur Honey Squeezy</t>
  </si>
  <si>
    <t>Tong Garden Wasabi Green Peas</t>
  </si>
  <si>
    <t>Ching's Secret  Noodles - Pad Thai Lemongras</t>
  </si>
  <si>
    <t>Cadbury Hot Chocolate</t>
  </si>
  <si>
    <t>Yoga Bar Peanut Butter Dark Chocolate Jar</t>
  </si>
  <si>
    <t>Bombay Shaving Company Charcoal Face Wash</t>
  </si>
  <si>
    <t>Mamaearth Moisturizing Baby Bath Soap</t>
  </si>
  <si>
    <t>Hershey's Cocoa - Natural Unsweetened</t>
  </si>
  <si>
    <t>Dove Intense Repair Conditioner</t>
  </si>
  <si>
    <t>Axe Dark Temptation Men's Deodorant</t>
  </si>
  <si>
    <t>Veeba Peri Peri Sauce</t>
  </si>
  <si>
    <t>Oxi Green Floor Cleaner - Floral</t>
  </si>
  <si>
    <t>Oxi Green Floor Cleaner - Citrus</t>
  </si>
  <si>
    <t>Kelloggs Special K</t>
  </si>
  <si>
    <t>Soulfull Vanilla Fills - Ragi Bites</t>
  </si>
  <si>
    <t>Godrej Aer Pocket, Bathroom Air Fragrance - Assorted Pack Of 3</t>
  </si>
  <si>
    <t>Moov Fast Pain Relief Cream</t>
  </si>
  <si>
    <t>Cantina Tortilla Dip Sauce Sour Creamy Tex Mex</t>
  </si>
  <si>
    <t>Nivea Men Active Clean with Active Charcoal Shower Gel for Body Face &amp; Hair</t>
  </si>
  <si>
    <t>Praakritik Organic Besan</t>
  </si>
  <si>
    <t>Pillsbury Rich Choco Oven Cake Mix - Egg Free</t>
  </si>
  <si>
    <t>Pantene Adv Hairfall Solution Conditioner Silky Smooth</t>
  </si>
  <si>
    <t>Fiama Di Wills Lemongrass &amp; Jojoba Gel Bar</t>
  </si>
  <si>
    <t>Nivea Creme, All Season Multi-Purpose Cream</t>
  </si>
  <si>
    <t>Gala Microfiber Magic Cloth 2-In-1</t>
  </si>
  <si>
    <t>24 Mantra Organic Black Pepper</t>
  </si>
  <si>
    <t>Nivea Soft Light Moisturizing Cream</t>
  </si>
  <si>
    <t>Savlon Clothes Disinfectant &amp; Refreshing Spray Fresh Breeze</t>
  </si>
  <si>
    <t>The Whole Truth Dark Chocolate Peanut Butter - Crunchy</t>
  </si>
  <si>
    <t>MTR Uttapam Mix</t>
  </si>
  <si>
    <t>Pillsbury Oven Cake Mix - Vanilla</t>
  </si>
  <si>
    <t>Godrej Yummiez Chicken Lucknowi Seekh Kebab</t>
  </si>
  <si>
    <t>Pantai Oyster Sauce</t>
  </si>
  <si>
    <t>Pears Pure And Gentle Value Pack Of 3 Bathing Soap</t>
  </si>
  <si>
    <t>Fiama Scents Juniper &amp; Geranium Body Wash</t>
  </si>
  <si>
    <t>Whisper Ultra Clean XL Plus Sanitary Pad</t>
  </si>
  <si>
    <t>Colgate Max Fresh Peppermint Toothpaste</t>
  </si>
  <si>
    <t>Yummiez Veg Cheese Fingers Pouch</t>
  </si>
  <si>
    <t>Godrej Yummiez Cheese Corn Nuggets</t>
  </si>
  <si>
    <t>Fogg Royal Fragrance Spray</t>
  </si>
  <si>
    <t>Himalaya Purifying Neem Face Wash</t>
  </si>
  <si>
    <t>Airwick Room Air Freshener Spray Cool Water &amp; Aloe Vera</t>
  </si>
  <si>
    <t>Air Wick Room Air Freshener Spray - Lavender &amp; Lotus</t>
  </si>
  <si>
    <t>Praakritik Organic Singhara Atta</t>
  </si>
  <si>
    <t>Praakritik Organic Jaggery</t>
  </si>
  <si>
    <t>The Laughing Cow Plain Processed Cheese Block</t>
  </si>
  <si>
    <t>Himalaya Gentle Baby Bath</t>
  </si>
  <si>
    <t>Johnson's Baby Cream</t>
  </si>
  <si>
    <t>Borges Durum Wheat Pasta Superior Quality</t>
  </si>
  <si>
    <t>L'Oreal Paris Dream Lengths Shampoo</t>
  </si>
  <si>
    <t>Tata Sampann Moong Dal Split</t>
  </si>
  <si>
    <t>Savlon Surface Disinfectant Spray</t>
  </si>
  <si>
    <t>Hershey's Cocoa Spread</t>
  </si>
  <si>
    <t>Praakritik Organic Kapli Wheat Atta</t>
  </si>
  <si>
    <t>Kellogg's Crunchy Granola Chocolate &amp; Almonds</t>
  </si>
  <si>
    <t>Masala Oats Masala &amp; Coriander</t>
  </si>
  <si>
    <t>Ariel Matic Front Load Liquid Detergent</t>
  </si>
  <si>
    <t>Fortune Biriyani Special Basmati Rice</t>
  </si>
  <si>
    <t>Saffola 100% Pure Honey</t>
  </si>
  <si>
    <t>24 Mantra Organic Rajma</t>
  </si>
  <si>
    <t>Dlecta Cheese Block</t>
  </si>
  <si>
    <t>Engage Woman Blush Body Deo Spray</t>
  </si>
  <si>
    <t>Engage Mate For Man Deo Spray</t>
  </si>
  <si>
    <t>Clean &amp; Clear Morning Energy Berry Face Wash</t>
  </si>
  <si>
    <t>Sundrop Super Lite Advanced - Sunflower Oil</t>
  </si>
  <si>
    <t>Eveready AA pack of 10</t>
  </si>
  <si>
    <t>Dettol Antiseptic Liquid + Disinfectant Spray - Original</t>
  </si>
  <si>
    <t>Dlicia Whip Topping Bottle</t>
  </si>
  <si>
    <t>Praakritik Organic Basmati Rice</t>
  </si>
  <si>
    <t>Fiama Menthol &amp; Magnolia Cooling Gel Bar Soap</t>
  </si>
  <si>
    <t>L'Oreal Paris Color Protect Shampoo</t>
  </si>
  <si>
    <t>Nestle Everyday Dairy Whitener</t>
  </si>
  <si>
    <t>Hershey's Hot Chocolate Powder</t>
  </si>
  <si>
    <t>Praakritik Organic Tuvar Dal</t>
  </si>
  <si>
    <t>Pedigree Dentastix  Dog Treat Oral Care for Adult Medium Breed</t>
  </si>
  <si>
    <t>Gillette Sensitive Shaving Foam</t>
  </si>
  <si>
    <t>Colgate Sensitive Plus Enamel Toothpaste Tube</t>
  </si>
  <si>
    <t>Scotch Brite Tough Scrubber Brush</t>
  </si>
  <si>
    <t>Chakaachak Super Sponge Wipes (Pack of 3)</t>
  </si>
  <si>
    <t>On1y Salad Seasoning Grinder</t>
  </si>
  <si>
    <t>Kelloggs Chocos Fills Double Chocolaty</t>
  </si>
  <si>
    <t>Maybelline New York Colossal Kajal Super Black</t>
  </si>
  <si>
    <t>Dlecta Cheese Cubes 2</t>
  </si>
  <si>
    <t>Veeba Thousand Island Dressing</t>
  </si>
  <si>
    <t>Veeba Barbeque Sauce</t>
  </si>
  <si>
    <t>Unibic Assorted Cookies</t>
  </si>
  <si>
    <t>Harpic Germ &amp; Stain Blaster Disinfectant Toilet Cleaner Floral</t>
  </si>
  <si>
    <t>Sugarfree Natura Low Calorie Sweetner</t>
  </si>
  <si>
    <t>Praakritik Organic Yellow Moon Dal</t>
  </si>
  <si>
    <t>Listerine Cool Mint Mouthwash - Mild Taste</t>
  </si>
  <si>
    <t>Ariel Complete Detergent Washing Powder 500 g  + 200 g Free</t>
  </si>
  <si>
    <t>Gala Double Hockey Toilet Brush</t>
  </si>
  <si>
    <t>Gala EzeeSqueegee Wiper</t>
  </si>
  <si>
    <t>Durex Extra Thin Bubblegum Condom</t>
  </si>
  <si>
    <t>Oral-B Criss Cross Medium Toothbrush (Buy 2 Get 2 Free)</t>
  </si>
  <si>
    <t>Go Cheese Slice - Plain</t>
  </si>
  <si>
    <t>Go Pizza Cheese</t>
  </si>
  <si>
    <t>Dabur Nature Care Isabgol - Double Action</t>
  </si>
  <si>
    <t>Epigamia Almond Milk Unsweetened Dairy Free</t>
  </si>
  <si>
    <t>Karachi Bakery Cashew Biscuits</t>
  </si>
  <si>
    <t>Mamaearth Deeply Nourishing wash for Babies</t>
  </si>
  <si>
    <t>Gillette Classic Regular Pre Shave Foam</t>
  </si>
  <si>
    <t>Nimyle Lemongrass Floor Cleaner</t>
  </si>
  <si>
    <t>Eno Regular Fruit Salt Energy Powder</t>
  </si>
  <si>
    <t>Oleev Smart Oil Fortified with VIT A, D, E &amp; K (Pouch)</t>
  </si>
  <si>
    <t>Mccain Emotibites - Crispy Happy Potato Snack</t>
  </si>
  <si>
    <t>Gala Microfiber Multipurpose Cloth</t>
  </si>
  <si>
    <t>Kitchens Of India Murgh Methi</t>
  </si>
  <si>
    <t>Nestle Milkmaid</t>
  </si>
  <si>
    <t>Popular Essentials Tamarind</t>
  </si>
  <si>
    <t>Veet Sensitive Skin Hair Removal Cream</t>
  </si>
  <si>
    <t>Veet Hair Removal Cream (Normal Skin)</t>
  </si>
  <si>
    <t>24 Mantra Super Grain Quinoa</t>
  </si>
  <si>
    <t>Dove Hair Fall Rescue Conditioner</t>
  </si>
  <si>
    <t>Airwick Room Air Freshener Spray - Rose &amp; Saffron</t>
  </si>
  <si>
    <t>Garnier Skin Naturals, Micellar Cleansing Water</t>
  </si>
  <si>
    <t>Colgate Sensitive Plus Anticavity Toothpaste</t>
  </si>
  <si>
    <t>Origami Kitchen Towels 2 In 1 Quilted 2ply</t>
  </si>
  <si>
    <t>Gala Iron Bull Scrub Pad</t>
  </si>
  <si>
    <t>Tata Sampann Unpolished Rajma (Chitra)</t>
  </si>
  <si>
    <t>Borges Durum Wheat Fusilli Pasta</t>
  </si>
  <si>
    <t>24 Mantra Organic Moong Dal</t>
  </si>
  <si>
    <t>Puro Healthy Salt Crystal</t>
  </si>
  <si>
    <t>Praakritik Organic Ginger Powder</t>
  </si>
  <si>
    <t>Pears Pure &amp; Gentle Value Pack Of 4 Bathing Soap</t>
  </si>
  <si>
    <t>Bombay Shaving Company Sensitive Cartridges</t>
  </si>
  <si>
    <t>Om Bhakti Wick for Diya - Ghee Cotton Wicks Small</t>
  </si>
  <si>
    <t>Kitchens Of India Mutter Paneer</t>
  </si>
  <si>
    <t>McCain Potato Cheese Shotz</t>
  </si>
  <si>
    <t>Godrej Real Good Chicken Leg Boneless</t>
  </si>
  <si>
    <t>Ching's Secret Just Soak - Whole Wheat Veg Hakka Noodles</t>
  </si>
  <si>
    <t>Pillsbury Oven Cake Mix - Rich Chocolate</t>
  </si>
  <si>
    <t>Dove Dandruff Care Shampoo</t>
  </si>
  <si>
    <t>Tata Sampann kabuli chana</t>
  </si>
  <si>
    <t>Amul Dark Compound Chocolate Slab</t>
  </si>
  <si>
    <t>Dabur Honey - World's No.1</t>
  </si>
  <si>
    <t>24 Mantra Organic Tur Dal - Split</t>
  </si>
  <si>
    <t>24 Mantra Organic Pancharatna Dal - Split</t>
  </si>
  <si>
    <t>Amul Cheese - Processed Slices</t>
  </si>
  <si>
    <t>MTR Ready To Eat Palak Paneer</t>
  </si>
  <si>
    <t>Sundrop Cocoa Nut Hazelnut Chocolatey Spread</t>
  </si>
  <si>
    <t>Pantene Total Damage Care Shampoo</t>
  </si>
  <si>
    <t>Durex Condoms Mutual Climax</t>
  </si>
  <si>
    <t>Apple Kinnaur</t>
  </si>
  <si>
    <t>Go Processed Cheese Block</t>
  </si>
  <si>
    <t>Cantina Tabasco Red Sauce</t>
  </si>
  <si>
    <t>Cantina Tabasco Green Sauce</t>
  </si>
  <si>
    <t>Nivea Lip Balm Original Care for 24h Moisture with Shea Butter &amp; Natural Oils</t>
  </si>
  <si>
    <t>Popular Essentials Dry Dates (Kharak)</t>
  </si>
  <si>
    <t>Go Cheese Processed Squares</t>
  </si>
  <si>
    <t>Gillette Lemon Lime Shaving Foam</t>
  </si>
  <si>
    <t>Moov Pain Relief Specialist Spray</t>
  </si>
  <si>
    <t>Eno Fruit Salt Lemon Flavour Energy Powder</t>
  </si>
  <si>
    <t>Popular Essentials Premium Jeera Rice</t>
  </si>
  <si>
    <t>Pril Perfect Lime Dishwash Liquid</t>
  </si>
  <si>
    <t>Praakritik Organic Masoor Dal</t>
  </si>
  <si>
    <t>Head &amp; Shoulders 2 In 1 Anti Dandruff Shampoo Conditioner</t>
  </si>
  <si>
    <t>Everest Black Pepper Powder</t>
  </si>
  <si>
    <t>Godrej Real Good Chicken Kheema</t>
  </si>
  <si>
    <t>Veeba Sriracha Chilli Garlic Sauce</t>
  </si>
  <si>
    <t>McCain Smiles Cripsy Happy Potatoes</t>
  </si>
  <si>
    <t>McCain Crazy Fries Masala MixHot 'n' Tangy</t>
  </si>
  <si>
    <t>Ching's Secret Hot Garlic Instant Noodles</t>
  </si>
  <si>
    <t>Ching's Secret Manchurian Instant Noodle</t>
  </si>
  <si>
    <t>Ching's Secret Schezwan Instant Noodle</t>
  </si>
  <si>
    <t>Surf Excel Detergent Bar Value Pack</t>
  </si>
  <si>
    <t>Nestle Lactogen Stage 2 Follow-up Formula Powder</t>
  </si>
  <si>
    <t>Sumeru Aloo Paratha</t>
  </si>
  <si>
    <t>Gala Cloth Poccha/Mop</t>
  </si>
  <si>
    <t>Himalaya Cold Balm</t>
  </si>
  <si>
    <t>B</t>
  </si>
  <si>
    <t>Popular Essentials Anjeer</t>
  </si>
  <si>
    <t>Harpic Power Fresh 6 Toilet Cleaner Rim Block Marine Splash</t>
  </si>
  <si>
    <t>Livon Anti-Frizz Serum</t>
  </si>
  <si>
    <t>Neutrogena Ultra Sheer Dry Touch SPF 50+ Sunblock Sunscreen Lotion</t>
  </si>
  <si>
    <t>Whiskas Adult +1 year Salmon in Gravy</t>
  </si>
  <si>
    <t>Pedigree Meat Jerky Adult Dog Treat Barbecued Chicken</t>
  </si>
  <si>
    <t>Pantene Advanced Hair Fall Solution Silky Smooth Care Shampoo</t>
  </si>
  <si>
    <t>Vaseline Original Skin Protecting Jelly</t>
  </si>
  <si>
    <t>Praakritik Organic Extra Virgin Coconut Oil</t>
  </si>
  <si>
    <t>McCain Veggie Burger Patty</t>
  </si>
  <si>
    <t>McCain Veggie Fingers</t>
  </si>
  <si>
    <t>Veeba Salsa Dip</t>
  </si>
  <si>
    <t>McCain Super Wedges</t>
  </si>
  <si>
    <t>Ceres Foods Fish Mustard Instant Liquid Masala</t>
  </si>
  <si>
    <t>Ceres Foods Nalli Nihari Instant Liquid Masala</t>
  </si>
  <si>
    <t>Laughing Cow Cheese 8 Portion 120Gm Imported</t>
  </si>
  <si>
    <t>The Laughing Cow Cheese Spread Plain</t>
  </si>
  <si>
    <t>MTR Ready to Eat Pav Bhaji</t>
  </si>
  <si>
    <t>Savlon Herbal Sensitive Liquid Handwash Refill Pouch</t>
  </si>
  <si>
    <t>Patanjali Kesh Kanti Anti Dandruff Hair Cleanser</t>
  </si>
  <si>
    <t>Johnson's Baby Top To Toe Bath Body Wash</t>
  </si>
  <si>
    <t>Origami Cups Plain 100 units</t>
  </si>
  <si>
    <t>Clean &amp; Clear Morning Energy Aqua Splash Face Wash</t>
  </si>
  <si>
    <t>Amul Mithai Mate EOE Tin</t>
  </si>
  <si>
    <t>Mother's Recipe Pickle - Mixed</t>
  </si>
  <si>
    <t>Baggry's Crunchy Muesli Almond Raisins &amp; Honey</t>
  </si>
  <si>
    <t>Whisper Choice Ultra XL Sanitary Pad</t>
  </si>
  <si>
    <t>Cornitos Peanut - Premium Salted</t>
  </si>
  <si>
    <t>Praakritik Organic Chilka Moong Dal</t>
  </si>
  <si>
    <t>ITC Master Chef Veggie Pizza Pocket</t>
  </si>
  <si>
    <t>Britannia Good Day Cashew Cookies Pack Of 6</t>
  </si>
  <si>
    <t>Colgate Total 12 Whole Mouth Protection Toothpaste</t>
  </si>
  <si>
    <t>Origami Non-Woven Kitchen Towel</t>
  </si>
  <si>
    <t>D'lecta Cream Cheese</t>
  </si>
  <si>
    <t>Amul Milk Compound Chocolate Slab</t>
  </si>
  <si>
    <t>Fiama Di Wills Men's Refreshing Pulse Shower Gel</t>
  </si>
  <si>
    <t>Om Bhakti Camphor Big</t>
  </si>
  <si>
    <t>Kelloggs Chocos</t>
  </si>
  <si>
    <t>Soulfull Ragi Bites Choco Fills</t>
  </si>
  <si>
    <t>Veet Hair Removal Cream Dry Skin</t>
  </si>
  <si>
    <t>Origami Luxuria Kitchen Towel 300 Pulls Single</t>
  </si>
  <si>
    <t>Odonil Air Fresher Buy 3 Get 1 Free</t>
  </si>
  <si>
    <t>Amul Processed Cheese Block</t>
  </si>
  <si>
    <t>MTR Paneer Butter Masala &amp; Veg Pulao</t>
  </si>
  <si>
    <t>Betty Crocker Complete Pancake Mix Original</t>
  </si>
  <si>
    <t>McCain Aloo Tikki</t>
  </si>
  <si>
    <t>Switz Paratha Puff</t>
  </si>
  <si>
    <t>Dettol SKincare Handwash Value Refill</t>
  </si>
  <si>
    <t>Pantene Silky Smooth Care Shampoo</t>
  </si>
  <si>
    <t>Dettol Original Germ Protection Bathing Soap Bar</t>
  </si>
  <si>
    <t>Nivea Creme All Season Multi-Purpose Cream</t>
  </si>
  <si>
    <t>L'Oreal Paris Dream Lengths Conditioner</t>
  </si>
  <si>
    <t>Dabur Hommade - Ginger Garlic Past Tub</t>
  </si>
  <si>
    <t>Amul Pizza Cheese Processed</t>
  </si>
  <si>
    <t>Veeba Mint Mayonnaise</t>
  </si>
  <si>
    <t>Nestle Nan Pro 4 Follow Up Formula Powder For Older Infants</t>
  </si>
  <si>
    <t>L'Oreal Paris Excellence Creme Hair Color, 1 Black</t>
  </si>
  <si>
    <t>L'Oreal Paris Excellence Creme Hair Color, 4 Natural Brown/Natural Dark Brown</t>
  </si>
  <si>
    <t>Praakritik Organic Jowar Atta</t>
  </si>
  <si>
    <t>Colgate Visible White Toothpaste</t>
  </si>
  <si>
    <t>Dabur Honey</t>
  </si>
  <si>
    <t>Sunfeast Mom's Magic Cashew &amp; Almond Biscuits</t>
  </si>
  <si>
    <t>Scotch Brite Kitchen Sink Brush</t>
  </si>
  <si>
    <t>Amul Processed Cheese Cubes</t>
  </si>
  <si>
    <t>Maggi Coconut Milkpowder</t>
  </si>
  <si>
    <t>Praakritik Organic Natural Wild Forest Honey</t>
  </si>
  <si>
    <t>Pantai Coconut Milk</t>
  </si>
  <si>
    <t>The Laughing Cow Cheese Cubes</t>
  </si>
  <si>
    <t>Britannia Treat Jimjam Family Pack (Buy 4 Get 1 Free)</t>
  </si>
  <si>
    <t>Colgate Max Fresh Plax Mouthwash - Fresh Mint</t>
  </si>
  <si>
    <t>Old Spice After Shave Lotion Musk</t>
  </si>
  <si>
    <t>Colgate Plax Peppermint Mouthwash</t>
  </si>
  <si>
    <t>L'Oreal Paris Color Protect Conditioner</t>
  </si>
  <si>
    <t>Veeba Chipolte Southwest Dressing</t>
  </si>
  <si>
    <t>Godrej Aer Morning Misty Meadows Home Air Freshener</t>
  </si>
  <si>
    <t>Mr Muscle Dranex Drain Cleaner Kiwi</t>
  </si>
  <si>
    <t>Bagrrys Fruit N Fibre Muesli - Strawberry</t>
  </si>
  <si>
    <t>Smith &amp; Jones Peri Peri Masala</t>
  </si>
  <si>
    <t>Gits Veg Biryani Ready to Eat</t>
  </si>
  <si>
    <t>Smith &amp; Jones Garlic &amp; Herbs Masala Mix</t>
  </si>
  <si>
    <t>On1y Mixed Herbs</t>
  </si>
  <si>
    <t>On1y Black Salt Grinder</t>
  </si>
  <si>
    <t>On1y Pasta Seasoning</t>
  </si>
  <si>
    <t>On1y Pizza Seasoning</t>
  </si>
  <si>
    <t>Smith &amp; Jones Italian Spices Masala Mix</t>
  </si>
  <si>
    <t>iD Natural Paneer</t>
  </si>
  <si>
    <t>Pedigree Dog Food Adult Chicken &amp; Veg</t>
  </si>
  <si>
    <t>Godrej Protekt Germ Fighter Handwash</t>
  </si>
  <si>
    <t>Colgate Zigzag Charcoal Soft Bristle Toothbrush - 4 Pcs</t>
  </si>
  <si>
    <t>Colgate Zig Zag Charcoal Medium Toothbrush 4 Pcs</t>
  </si>
  <si>
    <t>Dettol Liquid Handwash With Free Liquid</t>
  </si>
  <si>
    <t>Keya Italian Seasoning</t>
  </si>
  <si>
    <t>Oxi Green Dish Wash Liquid - Lemon</t>
  </si>
  <si>
    <t>Scotch Magic Tape</t>
  </si>
  <si>
    <t>Praakritik Orrganic Cold Pressed Sesame Oil</t>
  </si>
  <si>
    <t>24 Mantra Organic Roasted Bengal Gram Dal</t>
  </si>
  <si>
    <t>Lizol Disinfectant Surface &amp; Floor Cleaner Liquid Jasmine</t>
  </si>
  <si>
    <t>Stayfree Secure XL Size Sanitary Napkins</t>
  </si>
  <si>
    <t>Pantai Coconut Cream</t>
  </si>
  <si>
    <t>Harpic Flushmatic In-Cistern Toilet Cleaner Blocks Marine</t>
  </si>
  <si>
    <t>24 Mantra Organic Brown Sona Masoori Rice</t>
  </si>
  <si>
    <t>24 Mantra Organic Sattu Atta</t>
  </si>
  <si>
    <t>Satyam Nighties Spices  Chilli Kashmiri</t>
  </si>
  <si>
    <t>Popular Essentials Red Cherry/Gundu Chilli</t>
  </si>
  <si>
    <t>Weikfield Cooker Cake Mix - Vanilla</t>
  </si>
  <si>
    <t>Go Cheese Processed Angles Plain</t>
  </si>
  <si>
    <t>McCain Herb &amp; Garlic Crazy Fries Masala Mix</t>
  </si>
  <si>
    <t>Dettol Hand Sanitizer</t>
  </si>
  <si>
    <t>Pillsbury Choco Chip Pancake Mix</t>
  </si>
  <si>
    <t>Go Cheese  Spread Plain</t>
  </si>
  <si>
    <t>Go Cheese Spread - Garlic</t>
  </si>
  <si>
    <t>Go Cheese Spread - Four Pepper (Soft &amp; Creamy)</t>
  </si>
  <si>
    <t>Odonil Room Air Freshener Spray Lavender Mist</t>
  </si>
  <si>
    <t>Lizol Disinfectant Surface &amp; Floor Cleaner Liquid Citrus</t>
  </si>
  <si>
    <t>Praakritik Organic Poha</t>
  </si>
  <si>
    <t>Kitchens Of India Chicken Darbari</t>
  </si>
  <si>
    <t>Pantene Advanced Control Hair Fall Solution Shampoo</t>
  </si>
  <si>
    <t>Park Avenue Beer Shampoo</t>
  </si>
  <si>
    <t>Colgate Toothpaste For Kids Motu Oatlu</t>
  </si>
  <si>
    <t>Cherry Blossom Liquid Wax Polish</t>
  </si>
  <si>
    <t>Cherry Blossom Liquid Wax Polish (Dark Tan)</t>
  </si>
  <si>
    <t>Vicks BabyRub</t>
  </si>
  <si>
    <t>Ceres Foods Laal Maas Instant Liquid Masala</t>
  </si>
  <si>
    <t>MTR Dal Fry</t>
  </si>
  <si>
    <t>Kitchens Of India Palak Paneer</t>
  </si>
  <si>
    <t>Chings Secret Hot Garlic Instant Noodles</t>
  </si>
  <si>
    <t>Tata Sampann Urad Dal Split</t>
  </si>
  <si>
    <t>Popular Essentials Pink Rajma</t>
  </si>
  <si>
    <t>Popular Essentials Black Cardamom/Elaichi</t>
  </si>
  <si>
    <t>Praakritik Organic Garlic Powder</t>
  </si>
  <si>
    <t>Popular Essentials Green Peas (Un-Polished)</t>
  </si>
  <si>
    <t>Keya Pizza Seasoning</t>
  </si>
  <si>
    <t>The Whole Truth Double Cocoa Protein Bar No Sugar</t>
  </si>
  <si>
    <t>HImalaya Gentle Baby Wipes</t>
  </si>
  <si>
    <t>Engage M3 Perfume Spray for Men</t>
  </si>
  <si>
    <t>Himalaya Moisturising Aloe Vera Facial Wipes</t>
  </si>
  <si>
    <t>Mangalam Camphor</t>
  </si>
  <si>
    <t>Horlicks Protein Plus Chocolate</t>
  </si>
  <si>
    <t>Ambi Pur Car Freshener Gel - Relaxing Lavender</t>
  </si>
  <si>
    <t>Tata Sampann Masoor Dal Stand</t>
  </si>
  <si>
    <t>Mamaearth 100% Natural Berry Blast Kids Toothpaste</t>
  </si>
  <si>
    <t>Gits Gulab Jamun Instant Dessert Mix</t>
  </si>
  <si>
    <t>Pillsbury Cooker Cake Mix - Choco</t>
  </si>
  <si>
    <t>Weikfield Cooker Cake Mix - Chocolate</t>
  </si>
  <si>
    <t>Popular Essentials Samba Broken Wheat</t>
  </si>
  <si>
    <t>On1y Sea Salt Grinder</t>
  </si>
  <si>
    <t>Palmolive Naturals Sea Minerals Liquid Hand Wash</t>
  </si>
  <si>
    <t>Palmolive Black Orchid And Milk Liquid Hand Wash</t>
  </si>
  <si>
    <t>Colin Glass and Surface Cleaner Liquid Spray Regular</t>
  </si>
  <si>
    <t>Amrutanjan Pain Balm Extra Power</t>
  </si>
  <si>
    <t>L'Oreal Paris Total Repair 5 Shampoo</t>
  </si>
  <si>
    <t>Cornitos Cornitos Taco Shells - 4 Inches</t>
  </si>
  <si>
    <t>24 Mantra Organic Masoor Dal - Split</t>
  </si>
  <si>
    <t>Kelloggs Chocos Fills Double Chocolat</t>
  </si>
  <si>
    <t>Colgate Kids Toothpaste - 6+ Years, Strawberry Flavour</t>
  </si>
  <si>
    <t>Odonil Room Spray Air Freshener Citrus Fres</t>
  </si>
  <si>
    <t>Sunfeast Yumfills Whoopie Pie</t>
  </si>
  <si>
    <t>Stayfree Advanced XL Ultra Comfort Sanitary napkins with Wings</t>
  </si>
  <si>
    <t>Keya Piri Piri | Exotic Spices Mix</t>
  </si>
  <si>
    <t>Neutrogena Deep Clean Facial Cleanser</t>
  </si>
  <si>
    <t>Popular Essentials Dessicated Coconut</t>
  </si>
  <si>
    <t>Gits Medu Vada Instant Snack Mix</t>
  </si>
  <si>
    <t>Switz Samosa Dough Sheets</t>
  </si>
  <si>
    <t>Switz Spring Roll Dough Sheets</t>
  </si>
  <si>
    <t>Kelloggs Corn Flakes</t>
  </si>
  <si>
    <t>Harpic Lemon Bathroom Cleaner</t>
  </si>
  <si>
    <t>Shubh kart - Surabhi Camphor Pouch 50g</t>
  </si>
  <si>
    <t>Happilo Premium Afghani Anjeer</t>
  </si>
  <si>
    <t>Cornitos Cornitos Taco Shells - 6 Inches</t>
  </si>
  <si>
    <t>Gits Pav Bhaji Ready to Eat</t>
  </si>
  <si>
    <t>Dettol Original Liquid Handwash</t>
  </si>
  <si>
    <t>Mamaearth Skin Correct Face Serum</t>
  </si>
  <si>
    <t>Satyam Khobra</t>
  </si>
  <si>
    <t>Praakritik Organic Raw Sugar</t>
  </si>
  <si>
    <t>McCain French Fries Crisp &amp; Delicious</t>
  </si>
  <si>
    <t>ITC Master Chef Lebanese Falafel Kebab</t>
  </si>
  <si>
    <t>Fresh Mutton Mince - Kheema (Halal)</t>
  </si>
  <si>
    <t>Britannia Goodday Chocochip Cookies</t>
  </si>
  <si>
    <t>Amul Cheese - Pepper</t>
  </si>
  <si>
    <t>Gillette Presto Ready Shaver 5 Cartridges</t>
  </si>
  <si>
    <t>Colgate Slim Soft Charcoal Toothbrush</t>
  </si>
  <si>
    <t>Odomos lotion - Mosquito Repellent</t>
  </si>
  <si>
    <t>Durex Air Ultra Thin Condoms</t>
  </si>
  <si>
    <t>Keya Oregano</t>
  </si>
  <si>
    <t>Johnson's Baby No More Tears Baby Shampoo</t>
  </si>
  <si>
    <t>24 Mantra Organic Urad White Whole</t>
  </si>
  <si>
    <t>Popular Essentials Red Rajma</t>
  </si>
  <si>
    <t>Sunfeast Yippee! Power Up Atta Noodles</t>
  </si>
  <si>
    <t>Popular Essentials Urad Gola White(Un-Polished)</t>
  </si>
  <si>
    <t>Satyam Pulses Masur Dal</t>
  </si>
  <si>
    <t>Popular Essentials Moth Whole</t>
  </si>
  <si>
    <t>Gowardhan Classic Block Fresh Paneer</t>
  </si>
  <si>
    <t>ITC Master Chef Crispy Chicken Fries</t>
  </si>
  <si>
    <t>Lotte Choco Pie Cocoa Pie</t>
  </si>
  <si>
    <t>Open Secret Peanut Butter Story Box</t>
  </si>
  <si>
    <t>Open Secret White Choco Story Box</t>
  </si>
  <si>
    <t>Stayfree Dry-Max All Night Ultra-Dry Sanitary Pad</t>
  </si>
  <si>
    <t>Himalaya Prickly Heat Baby Powder</t>
  </si>
  <si>
    <t>Scotch Brite Silver Sparks Scrub Pad</t>
  </si>
  <si>
    <t>Veeba Sweet Onion Sauce</t>
  </si>
  <si>
    <t>Chef's Basket Durum Wheat Elbow Pasta</t>
  </si>
  <si>
    <t>Chef's Basket Durum Wheat Fusilli Pasta</t>
  </si>
  <si>
    <t>Popular Essentials Byadagi Chilli Stemless</t>
  </si>
  <si>
    <t>Satyam Nighties Spices  Chilli Bore</t>
  </si>
  <si>
    <t>Amul Cheese Spread Creamy</t>
  </si>
  <si>
    <t>Britannia Tiger Krunch Biscuits</t>
  </si>
  <si>
    <t>RRO Primio Refined Groundnut Oil Pet Bottle</t>
  </si>
  <si>
    <t>Godrej Real Good Chicken Drumstick</t>
  </si>
  <si>
    <t>Apple Royal Gala</t>
  </si>
  <si>
    <t>Hershey's Cocoa Powder</t>
  </si>
  <si>
    <t>Veeba Cheese and Chilli Sandwich Spread</t>
  </si>
  <si>
    <t>Veeba Truly Tomato Ketchup</t>
  </si>
  <si>
    <t>Godrej Real Good Chicken Curry Cut</t>
  </si>
  <si>
    <t>Dettol Skincare Liquid Hand Wash</t>
  </si>
  <si>
    <t>Fiama Peach &amp; Avocado Gel Bar</t>
  </si>
  <si>
    <t>Tata Sampann High Protein Kali Urad</t>
  </si>
  <si>
    <t>The Bake Shop Sesame Seed Crackers</t>
  </si>
  <si>
    <t>Popular Essentials Kabuli Chana Regular</t>
  </si>
  <si>
    <t>Kitchens of India Dal Bukhara Gravy Mix</t>
  </si>
  <si>
    <t>Kitchens Of India Yellow Dal Tadka</t>
  </si>
  <si>
    <t>Harpic Hygienic Toilet Cleaner Rim Block Citrus</t>
  </si>
  <si>
    <t>Vicks Vaporub</t>
  </si>
  <si>
    <t>MTR Masala - Sambar Powder</t>
  </si>
  <si>
    <t>Veeba Carrot &amp; Cucumber Sandwich Spread</t>
  </si>
  <si>
    <t>Ching's Secret Manchurian Noodles</t>
  </si>
  <si>
    <t>Popular Essentials Pumpkin Seeds</t>
  </si>
  <si>
    <t>Popular Essentials Black Pepper</t>
  </si>
  <si>
    <t>Popular Essentials Soya Beans</t>
  </si>
  <si>
    <t>Yummiez Chicken Breakfast Sausages</t>
  </si>
  <si>
    <t>MTR Vermicelli Payasam</t>
  </si>
  <si>
    <t>Pears Pure &amp; Gentle Glycerin Bath Soap</t>
  </si>
  <si>
    <t>Patanjali Saundarya Aloe Vera Gel</t>
  </si>
  <si>
    <t>Colgate Sensitive Everyday Protection Anticavity Toothpaste</t>
  </si>
  <si>
    <t>Woodward's Gripe Water</t>
  </si>
  <si>
    <t>Old Spice Lime Lather Shaving Cream</t>
  </si>
  <si>
    <t>Kitchens Of India Mughlai Paneer</t>
  </si>
  <si>
    <t>Apple Washington</t>
  </si>
  <si>
    <t>Avocado Indian Premium</t>
  </si>
  <si>
    <t>Everest Powder - Tea Masala</t>
  </si>
  <si>
    <t>24 Mantra Organic Chana Dal</t>
  </si>
  <si>
    <t>The Whole Truth Cranberry Protein Bar No Sugar</t>
  </si>
  <si>
    <t>The Whole Truth Peanut Cocoa Protein Bar No Sugar</t>
  </si>
  <si>
    <t>Parachute Jasmine Hair Oil</t>
  </si>
  <si>
    <t>Oxi Green Phenyl - Pine</t>
  </si>
  <si>
    <t>Godrej Real Good Marinated Hot &amp; Grill Chicken</t>
  </si>
  <si>
    <t>Fresh Mutton Curry Cut Cubes (Halal)</t>
  </si>
  <si>
    <t>Pantene Hair Fall Control Shampoo</t>
  </si>
  <si>
    <t>24 Mantra Organic Besan</t>
  </si>
  <si>
    <t>MTR Dal Makhani</t>
  </si>
  <si>
    <t>Durex Extra Ribbed Condoms</t>
  </si>
  <si>
    <t>Amul Frozen Malai Paneer</t>
  </si>
  <si>
    <t>24 Mantra Bura Sugar (Demerara)</t>
  </si>
  <si>
    <t>Godrej Yummiez Chilli Chicken Sausages</t>
  </si>
  <si>
    <t>Popular Essentials Pancharatna Dal</t>
  </si>
  <si>
    <t>Popular Essentials Urad Gola Black (Un-Polished)</t>
  </si>
  <si>
    <t>Top Ramen Masala Oat Masala</t>
  </si>
  <si>
    <t>Mother's Recipe Punjabi Teekha Mang Pickle</t>
  </si>
  <si>
    <t>Britannia Good Day Butter Cookies</t>
  </si>
  <si>
    <t>Colgate Gentle Sensitive+ Toothbrush Pack Of 4</t>
  </si>
  <si>
    <t>Origami Good Karma Paper Serviettes</t>
  </si>
  <si>
    <t>Chakaachak Mega Star Toilet Brush</t>
  </si>
  <si>
    <t>Mothers Recipe Papad Chana Masala</t>
  </si>
  <si>
    <t>Dettol Lather Shaving Cream</t>
  </si>
  <si>
    <t>Revive Revive Liquid</t>
  </si>
  <si>
    <t>Om Bhakti Camphor Small</t>
  </si>
  <si>
    <t>Moov Pain Relief Specialist</t>
  </si>
  <si>
    <t>Patanjali Kesh Kanti Reetha Hair Cleanser</t>
  </si>
  <si>
    <t>Patanjali Kesh Kanti Aloe Vera Hair Cleanser</t>
  </si>
  <si>
    <t>Baidyanath Isabgol</t>
  </si>
  <si>
    <t>Yogabar No Added Sugar Protein Bar Brownie</t>
  </si>
  <si>
    <t>24 Mantra Organic Cumin Powder</t>
  </si>
  <si>
    <t>Praakritik Organic Indrayani Rice</t>
  </si>
  <si>
    <t>iD Wheat Lachha Paratha</t>
  </si>
  <si>
    <t>Ching's Secret Red Chilli Sauce</t>
  </si>
  <si>
    <t>The Bake Shop Masala Lavash</t>
  </si>
  <si>
    <t>Fiama Fresh Hand Wash</t>
  </si>
  <si>
    <t>Whisper Daily Liners Clean and Fresh</t>
  </si>
  <si>
    <t>Origami Good Karma Paper Serviettes - 100 napkins (1 ply)</t>
  </si>
  <si>
    <t>Robin Dazzling Liquid Blue After Wash</t>
  </si>
  <si>
    <t>Ferrero Nutella Hazelnut Spread</t>
  </si>
  <si>
    <t>A1 Biodegradable Garbage Dustbin Bags</t>
  </si>
  <si>
    <t>Fortune Soya Health Refined Soybean Oil</t>
  </si>
  <si>
    <t>Whiskas Adult Pocket Tuna Cat Food</t>
  </si>
  <si>
    <t>iD Idli &amp; Dosa Batter</t>
  </si>
  <si>
    <t>24 Mantra Organic Jaggery Powder</t>
  </si>
  <si>
    <t>Sunfeast Dark Fantasy Vanilla Creme</t>
  </si>
  <si>
    <t>Vaseline Skin Protecting Jelly</t>
  </si>
  <si>
    <t>Old Spice Original Lather Shaving Cream</t>
  </si>
  <si>
    <t>Scotch Brite Scrub Pad</t>
  </si>
  <si>
    <t>Eveready Ultima Alkaline Battery AAA</t>
  </si>
  <si>
    <t>Britannia 50-50 Maska Chaska Biscuit</t>
  </si>
  <si>
    <t>Hersheys Chocolate Almond Syrup</t>
  </si>
  <si>
    <t>Everest Dry Mango Powder</t>
  </si>
  <si>
    <t>Johnson's Baby Lotion</t>
  </si>
  <si>
    <t>Scotch Brite Sponge Wipes</t>
  </si>
  <si>
    <t>Mamaearth Vitamin C Face Toner</t>
  </si>
  <si>
    <t>Suhana Biryani Masala</t>
  </si>
  <si>
    <t>Suhana Spice Mix - Chicken Biryani</t>
  </si>
  <si>
    <t>Dettol Antiseptic Disinfectant Liquid</t>
  </si>
  <si>
    <t>Popular Essentials Green Moong Chilka/Chilka (Un-Polished)</t>
  </si>
  <si>
    <t>Oral-B Extra Soft Bristles Sensitive</t>
  </si>
  <si>
    <t>Hit Cockroach Killer Spray</t>
  </si>
  <si>
    <t>24 Mantra Organic Jowar Flour</t>
  </si>
  <si>
    <t>Weikfield Cocoa Powder</t>
  </si>
  <si>
    <t>Britannia Toastea (Premium Bake Rusk)</t>
  </si>
  <si>
    <t>Mother's Recipe Pickle - Red Stuffed Chilli</t>
  </si>
  <si>
    <t>Popular Essentials Urad Dal Split (Un-Polished)</t>
  </si>
  <si>
    <t>Kitchens Of India Rajma Masala</t>
  </si>
  <si>
    <t>Aashirvaad Select Atta</t>
  </si>
  <si>
    <t>Weikfield Vanilla Custard Powder</t>
  </si>
  <si>
    <t>Britannia Pure Magic Choco Lush Cookies</t>
  </si>
  <si>
    <t>Cherry Blossom Wax Shoe Polish Black</t>
  </si>
  <si>
    <t>Cherry Blossom Wax Shoe Polish Dark Tan</t>
  </si>
  <si>
    <t>Kellogg's Corn Flakes</t>
  </si>
  <si>
    <t>Sunfeast Dark Fantasy Choco Fills Cookies Packet</t>
  </si>
  <si>
    <t>Arden Desi Eggs</t>
  </si>
  <si>
    <t>Hershey's Chocolate Syrup</t>
  </si>
  <si>
    <t>D'lecta Natural Feta Cheese Block</t>
  </si>
  <si>
    <t>Patanjali Kesh Kanti Shikakai Hair Cleanser</t>
  </si>
  <si>
    <t>Zandu Balm</t>
  </si>
  <si>
    <t>Vicks Inhaler with Keychain</t>
  </si>
  <si>
    <t>Popular Essentials Regular White Lobia</t>
  </si>
  <si>
    <t>Popular Essentials Fried Gram (Bengal Gram)</t>
  </si>
  <si>
    <t>Gits Jalebi with Maker Dessert Mix</t>
  </si>
  <si>
    <t>Eastern Tamarind</t>
  </si>
  <si>
    <t>Mother's Recipe Gujrati Gorkeri Pickle</t>
  </si>
  <si>
    <t>Britannia Nutri Choice Ragi Cookies</t>
  </si>
  <si>
    <t>Vanish All in One Powder Detergent Booster</t>
  </si>
  <si>
    <t>Airwick EverFresh Gel Bathroom Air Freshener - Lavender Dew</t>
  </si>
  <si>
    <t>Airwick EverFresh Gel Bathroom Air Freshener - Citrus Splash</t>
  </si>
  <si>
    <t>Tata Sampann Unpolished Urad Whole</t>
  </si>
  <si>
    <t>Nestle A+ Actiplus Probiotic Dahi Plain Curd</t>
  </si>
  <si>
    <t>Amul Cheese Sauce Jalapeno</t>
  </si>
  <si>
    <t>Head &amp; Shoulders 2-in-1 Cool Menthol Anti Dandruff Shampoo + Conditioner</t>
  </si>
  <si>
    <t>Godrej Nupur Henna</t>
  </si>
  <si>
    <t>Popular Essentials Cloves (Lavang)</t>
  </si>
  <si>
    <t>Sunfeast Farmlite Nuts Digestive</t>
  </si>
  <si>
    <t>Scalpe Pro Anti dandruff Shampoo 100ml</t>
  </si>
  <si>
    <t>ScotchBrite Premium Kitchen Towels</t>
  </si>
  <si>
    <t>Gits Khaman Dhokla Instant Snack Mix</t>
  </si>
  <si>
    <t>Dabur Hommade - Rajasthan Ki Garlic Chutne</t>
  </si>
  <si>
    <t>Dabur Hommade - Kalonji Tamatar Ki Chutney</t>
  </si>
  <si>
    <t>Om Bhakti Wick for Diya - Vanaspati Ghee Cotton Wicks Small</t>
  </si>
  <si>
    <t>Satyam Chilli  Bedgi</t>
  </si>
  <si>
    <t>Head &amp; Shoulders Shampoo + Conditioner - 2-In-1, Cool Menthol</t>
  </si>
  <si>
    <t>Sunfeast YiPPee! Noodles - Magic Masala</t>
  </si>
  <si>
    <t>Comfy Baby Pants XL 12-17 kg</t>
  </si>
  <si>
    <t>Popular Essentials White Peas (Un-Polished)</t>
  </si>
  <si>
    <t>Flying Bird Premium Orange Artificial Food Essence</t>
  </si>
  <si>
    <t>iD Curd Cup</t>
  </si>
  <si>
    <t>Chings Secret Manchurian Instant Noodle</t>
  </si>
  <si>
    <t>Godrej Real Good Chicken Marinated Lollipop</t>
  </si>
  <si>
    <t>Cadbury Chocobakes Choc Filled Cookies</t>
  </si>
  <si>
    <t>Colgate Zig Zag Toothbrush</t>
  </si>
  <si>
    <t>Dove Pink Rosa Beauty Bathinhg Bar</t>
  </si>
  <si>
    <t>Santoor Almond Soft With Sandal &amp; Almond Milk</t>
  </si>
  <si>
    <t>Mortein PowerGard Rat Kill Cake</t>
  </si>
  <si>
    <t>Mortein Cockroach Killer Spray, Crawling insect killer with Deep-Reach Nozzle</t>
  </si>
  <si>
    <t>Apple Shimla</t>
  </si>
  <si>
    <t>Popular Essentials Kashmiri Red Rajma</t>
  </si>
  <si>
    <t>Sebamed Cleansing Bar</t>
  </si>
  <si>
    <t>McCain New Mini Samosa with Cheese Pizza Style Filling</t>
  </si>
  <si>
    <t>Popular Essentials Sona Masouri Steam Rice</t>
  </si>
  <si>
    <t>Tata Sampann Unpolished Moong Dal</t>
  </si>
  <si>
    <t>Veeba Eggless Mayonnaise</t>
  </si>
  <si>
    <t>Danish Butter Cookies</t>
  </si>
  <si>
    <t>Dabur Keora water - Authentic flavour for Biryani's and Desserts</t>
  </si>
  <si>
    <t>Weikfield Drinking Chocolate Powder</t>
  </si>
  <si>
    <t>The Bake Shop Maska &amp; Multigrain Cheese Crackers</t>
  </si>
  <si>
    <t>Hamam Soap Bar Neem Tulsi and Aloe Vera</t>
  </si>
  <si>
    <t>Fem Fairness Naturals Hair Removal Cream Fair &amp; Soft - Rose</t>
  </si>
  <si>
    <t>MTR Idli/Dosa/Chilly Chutney Powder</t>
  </si>
  <si>
    <t>Saffola Veggie Twist Masala Oats</t>
  </si>
  <si>
    <t>Popular Essentials Salted Murmure</t>
  </si>
  <si>
    <t>Amul Butter - Pasteurised (School Pack)</t>
  </si>
  <si>
    <t>McCain Masala - Fries</t>
  </si>
  <si>
    <t>McCain Smiles - Pudina Chatka</t>
  </si>
  <si>
    <t>Chakaachak Dustpan Grey</t>
  </si>
  <si>
    <t>Gala Scrubber Pad</t>
  </si>
  <si>
    <t>Kapiva Wild Tulsi Giloy Juice |</t>
  </si>
  <si>
    <t>Popular Essentials Bajra Whole</t>
  </si>
  <si>
    <t>Kitchens of India Mutter Paneer Mix</t>
  </si>
  <si>
    <t>C</t>
  </si>
  <si>
    <t>Lijjat Udad Mini Papad</t>
  </si>
  <si>
    <t>The Bake Shop Jeera Ajwain Bread Sticks</t>
  </si>
  <si>
    <t>Dove Dryness Care Conditioner Frizzy &amp; Dry Hair</t>
  </si>
  <si>
    <t>Shubh kart - Nirmal 5 in 1 Agarbatti Zipper - 150g</t>
  </si>
  <si>
    <t>Shubh kart - Nirmal Eco Box Sugandhi Mogra Agarbatti - 100g</t>
  </si>
  <si>
    <t>Ching's Red Chilli Sauce</t>
  </si>
  <si>
    <t>Knorr Classic Tomato Soup With 100% Real Vegetabls, No Added Preservatives</t>
  </si>
  <si>
    <t>Ching's Secret Sweet Corn Soup</t>
  </si>
  <si>
    <t>Ching's Secret Tomato Soup</t>
  </si>
  <si>
    <t>Godrej Aer Power Pocket - Long Lasting Bathroom Fragrance Floral Delight</t>
  </si>
  <si>
    <t>Godrej Aer Power Pocket - Long Lasting Bathroom Fragrance Fresh Blossom</t>
  </si>
  <si>
    <t>Himalaya Men Pimple Clear Neem Face Wash</t>
  </si>
  <si>
    <t>Veeba Pasta And Pizza Sauce</t>
  </si>
  <si>
    <t>Popular Essentials Chana Dal (Un-Polished)</t>
  </si>
  <si>
    <t>TilSona Til Oil</t>
  </si>
  <si>
    <t>Popular Essentials Double Beans White</t>
  </si>
  <si>
    <t>President Butter - Salted</t>
  </si>
  <si>
    <t>ITC Master Chef Chicken Galouti Kebab</t>
  </si>
  <si>
    <t>Open Secret Assorted Story Box</t>
  </si>
  <si>
    <t>Bauli Moonfills Pack of 4</t>
  </si>
  <si>
    <t>Himalaya Baby Nourishing Massage Oil</t>
  </si>
  <si>
    <t>Palmolive Aroma Absolute Relax Shower Gel</t>
  </si>
  <si>
    <t>Nivea Women Deodorant Fresh Natural Long Lasting Freshness &amp; 48h Protection</t>
  </si>
  <si>
    <t>Arden Eggs Brown</t>
  </si>
  <si>
    <t>Fem Fairness Natural Gold Skin Bleach</t>
  </si>
  <si>
    <t>Popular Essentials Star Anise</t>
  </si>
  <si>
    <t>Mamaearth Ubtan Face Scrub Turmeric &amp; Walnut</t>
  </si>
  <si>
    <t>Aashirvaad Breakfast Instant Mix - Rice Idli</t>
  </si>
  <si>
    <t>Aashirvaad Instant Mix - Rice Dosa</t>
  </si>
  <si>
    <t>ITC Master Chef Butter Chicken</t>
  </si>
  <si>
    <t>Clove Sensitive Toothpaste with Anti-Sensitivity &amp; Fluoride Formulation</t>
  </si>
  <si>
    <t>The Laughing Cow Cheese Slices</t>
  </si>
  <si>
    <t>Harpic Hygienic Toilet Cleaner Rim Block Jasmine</t>
  </si>
  <si>
    <t>D'lecta Dairy Cream</t>
  </si>
  <si>
    <t>Popular Essentials Pe Shah Jeera</t>
  </si>
  <si>
    <t>The Bake Shop Whole Wheat Oats Khari</t>
  </si>
  <si>
    <t>Flying Bird Food Essence - Kewra</t>
  </si>
  <si>
    <t>Dukes Nibbles - Ranch Crackers</t>
  </si>
  <si>
    <t>Colgate Sensitive Soft Bristles Toothbrush</t>
  </si>
  <si>
    <t>Shubh kart - Shubhkart Sambrani Cup Black 12n</t>
  </si>
  <si>
    <t>Eveready Base B22 9-Watt LED Bulb</t>
  </si>
  <si>
    <t>Borges Extra Virgin Olive Oil</t>
  </si>
  <si>
    <t>Figaro Pure Olive Oil</t>
  </si>
  <si>
    <t>Maybelline New York Colossal Kajal Black</t>
  </si>
  <si>
    <t>Bell Peppers Red &amp; Yellow</t>
  </si>
  <si>
    <t>Dabur 100% Pure Honey</t>
  </si>
  <si>
    <t>Del Monte Pizza &amp; Pasta Sauce Spout Pack</t>
  </si>
  <si>
    <t>Oral-B Charcoal Deep Clean Stain Removal Toothbrush Soft</t>
  </si>
  <si>
    <t>Godrej Protekt</t>
  </si>
  <si>
    <t>Colgate Total Charcoal Anticavity Toothpaste</t>
  </si>
  <si>
    <t>Popular Essentials Pure Jaggery</t>
  </si>
  <si>
    <t>Mother's Recipe Tamarind Paste</t>
  </si>
  <si>
    <t>Flying Bird Butter Scotch Essence</t>
  </si>
  <si>
    <t>Flying Bird Pineapple Artifical Food Essence</t>
  </si>
  <si>
    <t>Kellogg's Crunchy Granola Honey, Almonds, Strawberries &amp; Pumpkin Seeds</t>
  </si>
  <si>
    <t>Chakaachak Floor Cleaning Pocha</t>
  </si>
  <si>
    <t>Scotch Brite Power Scrub Pad</t>
  </si>
  <si>
    <t>Fevicol Mr.Original General Purpose White Glue</t>
  </si>
  <si>
    <t>Surabhi Pure Camphor</t>
  </si>
  <si>
    <t>Godrej Yummiez Chicken Nuggets</t>
  </si>
  <si>
    <t>Colin Glass and Surface Cleaner Liquid Spray Regular</t>
  </si>
  <si>
    <t>Popular Essentials Black Urad Split</t>
  </si>
  <si>
    <t>Eastern Cumin Powder</t>
  </si>
  <si>
    <t>iD Malabar Parota</t>
  </si>
  <si>
    <t>The Whole Truth Vegan Almond Choco Fudge Energy Bar No Sugar</t>
  </si>
  <si>
    <t>The Whole Truth Vegan Fig Apricot &amp; Orange Energy Bar No Sugar</t>
  </si>
  <si>
    <t>The Whole Truth Vegan Mocha Almond Fudge Energy Bar No Sugar</t>
  </si>
  <si>
    <t>Fem Fairness Naturals Saffron Skin Bleach</t>
  </si>
  <si>
    <t>Oxi Green Max Force Green Concentrate</t>
  </si>
  <si>
    <t>Eveready 1012 Carbon Zinc AAA Battery</t>
  </si>
  <si>
    <t>Gits Rice Dosa Instant Breakfast Mix</t>
  </si>
  <si>
    <t>Bio Nutrients Pure Diet Tofu Gold</t>
  </si>
  <si>
    <t>Lijjat Garlic Papad</t>
  </si>
  <si>
    <t>Dabur Gulabari Rose Glow Face Cleanse</t>
  </si>
  <si>
    <t>Odonil Air Freshner Lavender Meadows</t>
  </si>
  <si>
    <t>Dabur Hommade - Garlic Paste</t>
  </si>
  <si>
    <t>Dabur Hommade - Ginger Paste</t>
  </si>
  <si>
    <t>Parle Rusk Elaichi</t>
  </si>
  <si>
    <t>Unibic Oatmeal Digestive Cookies</t>
  </si>
  <si>
    <t>So Good Almond Milk - Natural Unsweetened</t>
  </si>
  <si>
    <t>Veeba Pizza Topping</t>
  </si>
  <si>
    <t>Parle Monaco Classic Salty Biscuits</t>
  </si>
  <si>
    <t>Shubh kart - Nirmal Eco Box Chandan Agarbatti - 100g</t>
  </si>
  <si>
    <t>Odomos Mosquito Repellent Cream</t>
  </si>
  <si>
    <t>Dabur Odomos Naturals Mosquito Repellant Gel</t>
  </si>
  <si>
    <t>Ching's Secret Sauce, Green Chilli</t>
  </si>
  <si>
    <t>Ching's Instant Hot and Sour Soup</t>
  </si>
  <si>
    <t>Del Monte Red Chili Sauce</t>
  </si>
  <si>
    <t>TGFC Bombay Duck Whole Cleaned</t>
  </si>
  <si>
    <t>Everest Dry Ginger Powder</t>
  </si>
  <si>
    <t>Mother's Recipe Paste Ginger &amp; Garlic</t>
  </si>
  <si>
    <t>Suguna Fit Egg</t>
  </si>
  <si>
    <t>Nestlé CERELAC Baby Cereal with Milk</t>
  </si>
  <si>
    <t>Patanjali Kesh Kanti Natural Hair Cleanser</t>
  </si>
  <si>
    <t>Nivea Soft Moisturizing Cream</t>
  </si>
  <si>
    <t>Banana Nendran</t>
  </si>
  <si>
    <t>Banana Red</t>
  </si>
  <si>
    <t>24 Mantra Organic Green Moong Dal - Split</t>
  </si>
  <si>
    <t>Dabur Hommade Tamarind Paste</t>
  </si>
  <si>
    <t>Quaker Oats Breakfast Cereals - With Flavour Mix Nutritious Rich Source Of Energy</t>
  </si>
  <si>
    <t>Epigamia Natural Greek Yogurt</t>
  </si>
  <si>
    <t>MTR Upma</t>
  </si>
  <si>
    <t>Mother's Recipe Madras Appalam</t>
  </si>
  <si>
    <t>Uno Playing Card Game</t>
  </si>
  <si>
    <t>Apsara Non Dust Eraser</t>
  </si>
  <si>
    <t>Pomegranate</t>
  </si>
  <si>
    <t>The Bake Shop Masala Cheese Crackers</t>
  </si>
  <si>
    <t>Popular Essentials Saunf/Fennel Seeds</t>
  </si>
  <si>
    <t>Weikfield Veg Jelly Crystals - Strawberry</t>
  </si>
  <si>
    <t>Weikfield Veg Jelly Crystals - Raspberry</t>
  </si>
  <si>
    <t>Ching's Secret Veg Manchurian Masala</t>
  </si>
  <si>
    <t>Weikfield Veg Jelly Crystals - Mango</t>
  </si>
  <si>
    <t>Smith &amp; Jones Shahi Paneer Masala Mix</t>
  </si>
  <si>
    <t>Weikfield Veg Jelly Crystals - Orange</t>
  </si>
  <si>
    <t>The Whole Truth Cranberry Mini Protein Bar No Sugar</t>
  </si>
  <si>
    <t>The Whole Truth Mini Protein Bar - Coffee Cocoa No Added Sugar</t>
  </si>
  <si>
    <t>The Whole Truth Energy Bar Choco Cranberry Fudge</t>
  </si>
  <si>
    <t>Chakaachak Sponge Scrubber (Pack of 2)</t>
  </si>
  <si>
    <t>Satyam Nighties Spices  Chilli Pandi</t>
  </si>
  <si>
    <t>ITC Master Chef Hyderabadi Biryani</t>
  </si>
  <si>
    <t>ITC Master Chef Vegetable Biryani Cooking Paste</t>
  </si>
  <si>
    <t>Origami Aloe Vera Wipes</t>
  </si>
  <si>
    <t>Satyam Puffed Rice Kurmura (A)</t>
  </si>
  <si>
    <t>Popular Essentials Red Poha</t>
  </si>
  <si>
    <t>Vicks VapoRub</t>
  </si>
  <si>
    <t>Britannia Good Day Chunky Cookies</t>
  </si>
  <si>
    <t>Popular Essentials Masoor Dal Split (Un-Polished)</t>
  </si>
  <si>
    <t>Smith &amp; Jones Mutter Paneer Masala</t>
  </si>
  <si>
    <t>Unibic SugarFree - Butter Cookies</t>
  </si>
  <si>
    <t>Dove Dryness Care Shampoo</t>
  </si>
  <si>
    <t>Godrej Aer Spray Fresh Lush Green</t>
  </si>
  <si>
    <t>Dabur Regular Hajmola</t>
  </si>
  <si>
    <t>Dabur Hajmola Imli Digestive Tablets</t>
  </si>
  <si>
    <t>Dabur Hajmola Pudina - Digestive Tablets</t>
  </si>
  <si>
    <t>Del Monte Black Sliced Olives</t>
  </si>
  <si>
    <t>Old Spice Original After Shave Lotion</t>
  </si>
  <si>
    <t>Veeba Hot Sweet Tomato Chilli Sauce</t>
  </si>
  <si>
    <t>Suguna Active - DHA</t>
  </si>
  <si>
    <t>Suguna Heart- Omega3</t>
  </si>
  <si>
    <t>TGFC Basa Fillets</t>
  </si>
  <si>
    <t>The Whole Truth Mini Protein Bar - Coconut Cocoa No Added Sugar</t>
  </si>
  <si>
    <t>The Whole Truth Peanut Cocoa Mini Protein Bar No Sugar</t>
  </si>
  <si>
    <t>The Whole Truth Mini Protein Bar - Peanut Butter No Added Sugar</t>
  </si>
  <si>
    <t>Chakaachak Power Scrub (Pack of 2)</t>
  </si>
  <si>
    <t>Zandu Balm Ulter Power For Strong Headache Bodyache &amp; Cold</t>
  </si>
  <si>
    <t>Popular Essentials Jowa Flour</t>
  </si>
  <si>
    <t>MTR Ready To Eat Paneer Butter Masala</t>
  </si>
  <si>
    <t>Popular Essentials Mace/Javitri</t>
  </si>
  <si>
    <t>Ching's Singapore Curry Instant Noodles</t>
  </si>
  <si>
    <t>Ching's Secret Instant Noodles, Hot Garlic</t>
  </si>
  <si>
    <t>Smith &amp; Jones Red Pasta Sauce Mix</t>
  </si>
  <si>
    <t>Britannia Treat Creme Wafers - Vanilla</t>
  </si>
  <si>
    <t>Britannia Treart Creme Wafers Chocolate</t>
  </si>
  <si>
    <t>Britannia Treat Creme Wafers - Orange</t>
  </si>
  <si>
    <t>Pineapple</t>
  </si>
  <si>
    <t>Popular Essentials Sattu Atta</t>
  </si>
  <si>
    <t>McCain New Mini Samosa with Cheese Corn Style Filling</t>
  </si>
  <si>
    <t>Mangaldeep Rose Puja Agarbatti</t>
  </si>
  <si>
    <t>Eastern Fish Masala</t>
  </si>
  <si>
    <t>24 Mantra Organic Puffed Rice</t>
  </si>
  <si>
    <t>Everest Powder - Egg Curry Masala</t>
  </si>
  <si>
    <t>Popular Essentials Nylon Til</t>
  </si>
  <si>
    <t>Clean &amp; Clear Pimple Clearing Face Wash</t>
  </si>
  <si>
    <t>Fevistik Super Glue Stick</t>
  </si>
  <si>
    <t>Iodex Body Pain Expert</t>
  </si>
  <si>
    <t>Sunfeast Dark Fantasy Choco Creme</t>
  </si>
  <si>
    <t>Fem Fairness Naturals Hair Removal Cream Fair &amp; Soft - Gold</t>
  </si>
  <si>
    <t>Patanjali Hing Goli</t>
  </si>
  <si>
    <t>Hershey's Caramel Syrup</t>
  </si>
  <si>
    <t>Neutrogena Deep Clean Foaming Cleanser</t>
  </si>
  <si>
    <t>Suhana Paneer Tikka Masala Mix</t>
  </si>
  <si>
    <t>Pineapple Slice</t>
  </si>
  <si>
    <t>Popular Essentials Green Moong Whole</t>
  </si>
  <si>
    <t>Dukes Waffy Strawberry Roll</t>
  </si>
  <si>
    <t>Good Knight Fabric Personal Mosquito Repellent Roll On</t>
  </si>
  <si>
    <t>Orion Choco Pie - Chocolate Coated Soft Biscuit</t>
  </si>
  <si>
    <t>The Bake Shop Milk &amp; Raisin Toast (Rusk)</t>
  </si>
  <si>
    <t>The Bake Shop Whole Wheat Toast (Rusk)</t>
  </si>
  <si>
    <t>Weikfield Vanilla Flavoured Custard Powder</t>
  </si>
  <si>
    <t>TGFC Chicken Boneless Fresh Whole</t>
  </si>
  <si>
    <t>Ching's Schezwan Fried Rice(Miracle Masala)</t>
  </si>
  <si>
    <t>Gits Dessert Mix China Grass Bombay Halwa</t>
  </si>
  <si>
    <t>Britannia Multigrain Bread</t>
  </si>
  <si>
    <t>The Whole Truth Double Cocoa Mini Protein Bar No Sugar</t>
  </si>
  <si>
    <t>Godrej Aer Power Pocket - Long Lasting Bathroom Fragrance Lavender Bloom</t>
  </si>
  <si>
    <t>Tata Salt Lite</t>
  </si>
  <si>
    <t>Amul Mithai Mate Condensed Sweetened Milk</t>
  </si>
  <si>
    <t>Popular Essentials Idli Rice</t>
  </si>
  <si>
    <t>Pillsbury Vanilla Custard Powder</t>
  </si>
  <si>
    <t>ITC Master Chef Classic Aloo Tikki</t>
  </si>
  <si>
    <t>Parle Monaco Jeffs Zeera Biscuit</t>
  </si>
  <si>
    <t>Origami Disposable Spoons</t>
  </si>
  <si>
    <t>Safal Frozen - Mixed Vegetables</t>
  </si>
  <si>
    <t>Zorabian Chicken Legs Skinless</t>
  </si>
  <si>
    <t>The Bake Shop Whole Wheat Multigrain Lavash</t>
  </si>
  <si>
    <t>Clinic Plus Strength &amp; Shine Shampoo With Egg Protein</t>
  </si>
  <si>
    <t>24 Mantra Organic Ragi Flour</t>
  </si>
  <si>
    <t>Orange Nagpur</t>
  </si>
  <si>
    <t>Pear Green Imported</t>
  </si>
  <si>
    <t>Flying Bird Vanilla Essence</t>
  </si>
  <si>
    <t>Maggi Magic Cubes, Vegetarian Masala (Free 2 Cubes Inside)</t>
  </si>
  <si>
    <t>Popular Essentials Chiroti Sooji</t>
  </si>
  <si>
    <t>24 Mantra Turmeric Powder</t>
  </si>
  <si>
    <t>Popular Essentials Broken Wheat/Daliya</t>
  </si>
  <si>
    <t>iD Curd Pouch</t>
  </si>
  <si>
    <t>Fresh Chicken Boneless Cubes (Halal)</t>
  </si>
  <si>
    <t>TGFC Catla Bengali Cut</t>
  </si>
  <si>
    <t>Britannia Pure Magic - Chocolush</t>
  </si>
  <si>
    <t>Gala Scrubber Cleaner Home Everyday Scrub</t>
  </si>
  <si>
    <t>Aro Aluminium Container with Lid 230 ml</t>
  </si>
  <si>
    <t>Everest Meat Masala Powder</t>
  </si>
  <si>
    <t>Everest Shahi Paneer Masala</t>
  </si>
  <si>
    <t>Jivana Jaggery</t>
  </si>
  <si>
    <t>MTR Vada Breakfast</t>
  </si>
  <si>
    <t>Epigamia Greek Yogurt - Natural</t>
  </si>
  <si>
    <t>Ching's Secret Chilli Vinegar</t>
  </si>
  <si>
    <t>Maggi Rich Tomato Ketchup</t>
  </si>
  <si>
    <t>Mother's Recipe Bhel Puri Chutney</t>
  </si>
  <si>
    <t>Woodwards Gripe Water</t>
  </si>
  <si>
    <t>Set Wet Swag Avatar Deodorant &amp; Body Spray Perfume For Men</t>
  </si>
  <si>
    <t>Set Wet Deodrant Charm Avatar</t>
  </si>
  <si>
    <t>Popular Essentials Cinnamon Whole (Dalchini)</t>
  </si>
  <si>
    <t>Unibic Fruit &amp; Nut Real Cranberries &amp; Almonds Protein Bar</t>
  </si>
  <si>
    <t>Unibic Snack Bar - Multigrain, Choco</t>
  </si>
  <si>
    <t>Godrej Expert Rich Crème, Burgundy</t>
  </si>
  <si>
    <t>Chakaachak Deluxe Dustpan Grey</t>
  </si>
  <si>
    <t>Eastern Chicken Masala</t>
  </si>
  <si>
    <t>Amul Lite Spread</t>
  </si>
  <si>
    <t>Zorabian Chicken Smoked Ham</t>
  </si>
  <si>
    <t>Aashirvaad Instant Meals - Khatta Meetha Pohaa With Millets</t>
  </si>
  <si>
    <t>Unibic Choco Kiss Cookies</t>
  </si>
  <si>
    <t>Colgate Max Fresh Cooling Crystals Toothpaste</t>
  </si>
  <si>
    <t>Lemon</t>
  </si>
  <si>
    <t>Sunfeast YiPPee! Magic Masala Noodles</t>
  </si>
  <si>
    <t>Godrej Real Good Chicken Legs</t>
  </si>
  <si>
    <t>Popular Essentials Black Til</t>
  </si>
  <si>
    <t>Himalaya Anti-Hair Fall Shampoo</t>
  </si>
  <si>
    <t>Surf Excel Matic Top Load Detergent Powder</t>
  </si>
  <si>
    <t>Moov Cream Regular</t>
  </si>
  <si>
    <t>Suguna Sharp Egg</t>
  </si>
  <si>
    <t>TGFC Chicken Curry Cut Fresh</t>
  </si>
  <si>
    <t>Britannia 50-50 Maska Chaska Biscuits</t>
  </si>
  <si>
    <t>Colgate Herbal Toothpaste</t>
  </si>
  <si>
    <t>Popular Essentials Dhania (Coriander Seeds)</t>
  </si>
  <si>
    <t>Knorr International Mexican Tomato Corn Soup</t>
  </si>
  <si>
    <t>Everest Pani Puri Masala</t>
  </si>
  <si>
    <t>Popular Essentials Rice Flour</t>
  </si>
  <si>
    <t>Suhana Mutton Gravy Mix</t>
  </si>
  <si>
    <t>Britannia 100% Whole Wheat Bread</t>
  </si>
  <si>
    <t>Epigamia Misti Doi</t>
  </si>
  <si>
    <t>McVitie's Marie biscuits with Goodness of Calcium</t>
  </si>
  <si>
    <t>Britannia Good Day Nut Cookies</t>
  </si>
  <si>
    <t>Set Wet Style Vertical Hold Hair Gel</t>
  </si>
  <si>
    <t>Godrej Expert Rich Crème, Natural Black</t>
  </si>
  <si>
    <t>Godrej Expert Creme Hair Natural Brown Colour</t>
  </si>
  <si>
    <t>Garnier Color Naturals Crème Hair Color, Shade 5 Light Brown</t>
  </si>
  <si>
    <t>Oral-B Charcoal Cross Cross Extra Soft Toothbrush (Buy 2 Get 1 Free)</t>
  </si>
  <si>
    <t>TGFC Rohu Bengali Cut</t>
  </si>
  <si>
    <t>Tata Sampann Unpolished Chana Dal</t>
  </si>
  <si>
    <t>Dragon Fruit Imported</t>
  </si>
  <si>
    <t>Guava Thai</t>
  </si>
  <si>
    <t>Fem Fairness Naturals Gold Skin Bleach</t>
  </si>
  <si>
    <t>Ching's Paneer Chilli Masala</t>
  </si>
  <si>
    <t>Dabur Amla Hair Oil</t>
  </si>
  <si>
    <t>Vim Dishwash Liquid Gel Lemon</t>
  </si>
  <si>
    <t>Weikfield Baking Soda</t>
  </si>
  <si>
    <t>Popular Essentials Black Masoor Whole (Un-Polished)</t>
  </si>
  <si>
    <t>Everest Sabji Masala</t>
  </si>
  <si>
    <t>Mother Dairy Classic Curd</t>
  </si>
  <si>
    <t>Britannia Good Day Choco Chip Cookies</t>
  </si>
  <si>
    <t>Parle Fab!o Vanilla Creme Sandwich Biscuit</t>
  </si>
  <si>
    <t>Stayfree Secure Dry Cover Regular Sanitary Pad With Wings</t>
  </si>
  <si>
    <t>Om Bhakti Gangajal Packed At Gangotri</t>
  </si>
  <si>
    <t>Funfoods Peanut Butter Creamy</t>
  </si>
  <si>
    <t>Popular Essentials Idli Sooji</t>
  </si>
  <si>
    <t>Pillsbury Multi Grain Atta</t>
  </si>
  <si>
    <t>Praakritik Organic Natural Rock Salt</t>
  </si>
  <si>
    <t>Britannia Brown Bread</t>
  </si>
  <si>
    <t>Unibic Daily Digestive (Multigrain Cookies)</t>
  </si>
  <si>
    <t>Shubh kart - Tejas Twisted Cotton Wicks 1000n</t>
  </si>
  <si>
    <t>Shubh kart - Nirmal sugandhi mogra wet dhoop zipper 20 sticks</t>
  </si>
  <si>
    <t>Ching's Secret Manchow Soup</t>
  </si>
  <si>
    <t>Del Monte Green Chili Sauce</t>
  </si>
  <si>
    <t>Zorabian Pre Cut Chicken Skinless (Half)</t>
  </si>
  <si>
    <t>Godrej Cinthol Lime Talc</t>
  </si>
  <si>
    <t>Godrej Aer Power Pocket Berry Rush</t>
  </si>
  <si>
    <t>Organic India Brahmi Bottle</t>
  </si>
  <si>
    <t>Everest Hingraj Powder</t>
  </si>
  <si>
    <t>Popular Essentials Cooking Soda</t>
  </si>
  <si>
    <t>Sunfeast Farmlite Oats &amp; Almonds Biscuits Packet</t>
  </si>
  <si>
    <t>Baker Street Suji Rusk Large Pack</t>
  </si>
  <si>
    <t>Sunfeast Mom's Magic Rich Butter Cookies</t>
  </si>
  <si>
    <t>McVitie's Butter Cookies</t>
  </si>
  <si>
    <t>Keya Wonder Red Hot Chilli Flakes</t>
  </si>
  <si>
    <t>Everest Rajma Masala</t>
  </si>
  <si>
    <t>Britannia Healthy Slice Sandwich Bread</t>
  </si>
  <si>
    <t>Smith &amp; Jones Pink Pasta Sauce Mix</t>
  </si>
  <si>
    <t>Godrej Real Good Chicken Lollypop</t>
  </si>
  <si>
    <t>Fresh Chicken Whole Leg - Skinless (Halal)</t>
  </si>
  <si>
    <t>Funfoods Peanut Butter Crunchy</t>
  </si>
  <si>
    <t>Kitchens of India Dal Makhani</t>
  </si>
  <si>
    <t>Kitchen Of India Ready-To-Eat Pindi Channa</t>
  </si>
  <si>
    <t>Maggi Hot &amp; Sweet - Tomato Chilli Sauce</t>
  </si>
  <si>
    <t>Mango Raw</t>
  </si>
  <si>
    <t>Popular Essentials Sunflower Seeds</t>
  </si>
  <si>
    <t>MTR 3 Min Poha</t>
  </si>
  <si>
    <t>Everest Kasuri Methi</t>
  </si>
  <si>
    <t>Sugarfree Natural Green Stevia Leaves Zero Calorie</t>
  </si>
  <si>
    <t>Wingreens Farms Chipotle Dip</t>
  </si>
  <si>
    <t>MTR 3 Minute Breakfast - Magic Masala Upma</t>
  </si>
  <si>
    <t>Maggi Ghee Tadka Upma Express Pouch</t>
  </si>
  <si>
    <t>Cadbury Chocobakes Chocolate Filled Cookies</t>
  </si>
  <si>
    <t>Lotte Choco Pie Chocolate Cake</t>
  </si>
  <si>
    <t>Dettol Original Germ Protection Alcohol Based Hand Sanitizer</t>
  </si>
  <si>
    <t>Colgate Kids 0-2 Extra Soft Tooth Brush</t>
  </si>
  <si>
    <t>Dabur Gulabari Rose Water Daily Glow</t>
  </si>
  <si>
    <t>Kissan Pineapple Jam</t>
  </si>
  <si>
    <t>Watermelon</t>
  </si>
  <si>
    <t>Banana Elaichi</t>
  </si>
  <si>
    <t>Biryani /Pulav Mix</t>
  </si>
  <si>
    <t>TGFC Tilapia Curry Cut</t>
  </si>
  <si>
    <t>Godrej Easy 5 Minute Natural Brown 4 Hair Colour</t>
  </si>
  <si>
    <t>Colocasia</t>
  </si>
  <si>
    <t>Tata Salt</t>
  </si>
  <si>
    <t>On1y Pepper Grinder</t>
  </si>
  <si>
    <t>Popular Essentials Horse Gram</t>
  </si>
  <si>
    <t>Weikfield Falooda Mix - Kesar Pista</t>
  </si>
  <si>
    <t>Britannia Bourbon Biscuit Buy 4 Get 1 Free</t>
  </si>
  <si>
    <t>Himalaya Diaper Rash Cream</t>
  </si>
  <si>
    <t>The Bake Shop Bread Crumbs</t>
  </si>
  <si>
    <t>Yoga Bar Multigrain Energy Bar Nuts And Seeds</t>
  </si>
  <si>
    <t>Kitchens Of India Chicken Chettinad</t>
  </si>
  <si>
    <t>Chakaachak Super Strong Scrub</t>
  </si>
  <si>
    <t>Satyam Puffed Rice Kurmura (R)</t>
  </si>
  <si>
    <t>Eastern Super Garam Masala</t>
  </si>
  <si>
    <t>Veeba English Mustard</t>
  </si>
  <si>
    <t>Unibic Honey Oatmeal Cookies</t>
  </si>
  <si>
    <t>Unibic Cashew Cookies</t>
  </si>
  <si>
    <t>Papaya</t>
  </si>
  <si>
    <t>Guava</t>
  </si>
  <si>
    <t>Orange</t>
  </si>
  <si>
    <t>Britannia Nutri Choice Oats Milk Almond Biscuit</t>
  </si>
  <si>
    <t>L'Oreal 6 Oil Nourish Conditioner</t>
  </si>
  <si>
    <t>Britannia Sandwich White Bread</t>
  </si>
  <si>
    <t>Unibic Almond &amp; Oats Protein Bar</t>
  </si>
  <si>
    <t>Maggi Imli Sauce Pichkoo</t>
  </si>
  <si>
    <t>Dettol Antiseptic Liquid</t>
  </si>
  <si>
    <t>Odonil Room Air Freshener Spray - Lavender Mist</t>
  </si>
  <si>
    <t>24 Mantra Organic Cumin</t>
  </si>
  <si>
    <t>Tender Coconut</t>
  </si>
  <si>
    <t>Sunfeast Yippee! Mood Masala Noodles</t>
  </si>
  <si>
    <t>Unibic SugarFree - Oatmeal Cookies</t>
  </si>
  <si>
    <t>24 Mantra Organic Peanuts</t>
  </si>
  <si>
    <t>Popular Essentials Methi Seeds</t>
  </si>
  <si>
    <t>Popular Essentials Mustard Seeds Rai Yellow</t>
  </si>
  <si>
    <t>Godrej Easy Natural Black Hair Colour</t>
  </si>
  <si>
    <t>Aashirvaad Multigrain Atta</t>
  </si>
  <si>
    <t>Mother Dairy Ultra Full Cream Milk</t>
  </si>
  <si>
    <t>McCain Chilli Cheesy Nuggets</t>
  </si>
  <si>
    <t>Dukes Sour &amp; Cream Onion Nibbles Baked</t>
  </si>
  <si>
    <t>Dabur Hajmola Maha Candy - Aam+Imli</t>
  </si>
  <si>
    <t>The Bake Shop Methi Khari Simply Delicious</t>
  </si>
  <si>
    <t>Kiwi Dranex Drain Cleaner</t>
  </si>
  <si>
    <t>MTR Breakfast Khatta Meetha Poha Mix</t>
  </si>
  <si>
    <t>Smith &amp; Jones White Pasta Sauce Mix</t>
  </si>
  <si>
    <t>Mother's Recipe Mango Pickle</t>
  </si>
  <si>
    <t>Britannia Treat Croissant Vanilla Creme Roll</t>
  </si>
  <si>
    <t>Sunfeast Farmlite 5 Seed Digestive</t>
  </si>
  <si>
    <t>Godrej Expert Rich Crème, Dark Brown</t>
  </si>
  <si>
    <t>Epigamia Fruit Yogurt Alphonso Mango</t>
  </si>
  <si>
    <t>Epigamia Fruit Yogurt Vanilla</t>
  </si>
  <si>
    <t>Vicks Cough Drops Menthol</t>
  </si>
  <si>
    <t>Nycil Germ Expert Cool Herbal Talc</t>
  </si>
  <si>
    <t>McCain Chilli Garlic Potato Bites Crunchy Potato Nuggets</t>
  </si>
  <si>
    <t>Papaya Cut</t>
  </si>
  <si>
    <t>Bambino Popular Vermicelli</t>
  </si>
  <si>
    <t>Britannia Pure Magic Vanilla Creme Biscuit</t>
  </si>
  <si>
    <t>Maggi Hot &amp; Sweet Tomato Chilli Sauce</t>
  </si>
  <si>
    <t>Radish White</t>
  </si>
  <si>
    <t>Popular Essentials Jeera/Cumin Seeds</t>
  </si>
  <si>
    <t>McCain French Fries</t>
  </si>
  <si>
    <t>Mother's Recipe Lime Pickle</t>
  </si>
  <si>
    <t>The Bake Shop Whole Wheat Multigrain Toast (Rusk)</t>
  </si>
  <si>
    <t>Parachute Oil</t>
  </si>
  <si>
    <t>Knorr Sweet Corn Chicken Soup</t>
  </si>
  <si>
    <t>Dukes Waffy Orange Wafers</t>
  </si>
  <si>
    <t>Popular Essentials Plain Puffed Rice (Murmura/Muri)</t>
  </si>
  <si>
    <t>Ching's Secret Chowmein Hakka Noodles Masala</t>
  </si>
  <si>
    <t>Tomato Hybrid</t>
  </si>
  <si>
    <t>Muskmelon</t>
  </si>
  <si>
    <t>Beans Broad</t>
  </si>
  <si>
    <t>Zucchini Yellow</t>
  </si>
  <si>
    <t>Raw Banana</t>
  </si>
  <si>
    <t>Popular Essentials Bansi Sooji</t>
  </si>
  <si>
    <t>Parle Milano Mixed Berries Cookies</t>
  </si>
  <si>
    <t>Pril Power Of Active Boosters</t>
  </si>
  <si>
    <t>Saffola Soya Chunks Mealmaker</t>
  </si>
  <si>
    <t>Everest Tea Masala</t>
  </si>
  <si>
    <t>Catch Black Pepper Sprinkler</t>
  </si>
  <si>
    <t>Mother Dairy Toned Milk Pouch</t>
  </si>
  <si>
    <t>Mothers Recipe Tamrind Date Chutney</t>
  </si>
  <si>
    <t>Britannnia 50-50 Sweet &amp; Salty Biscuit</t>
  </si>
  <si>
    <t>Oral-B Charcoal Deep Clean Stain Removal Toothbrush Medium</t>
  </si>
  <si>
    <t>Dabur - Chyawanprash</t>
  </si>
  <si>
    <t>Pomegranate Peeled</t>
  </si>
  <si>
    <t>Sweet Potato</t>
  </si>
  <si>
    <t>Ching's Secret Just Soak - Whole Wheat Veg Hakka Noodle</t>
  </si>
  <si>
    <t>Om Bhakti Cow Dung Cakes</t>
  </si>
  <si>
    <t>Hershey's Syrup Delicious Strawberry</t>
  </si>
  <si>
    <t>Tata Sampann High Protien Kabuli Chana</t>
  </si>
  <si>
    <t>24 Mantra Organic Wheat Daliya</t>
  </si>
  <si>
    <t>Zama Organics Sweet Potato</t>
  </si>
  <si>
    <t>Broccoli</t>
  </si>
  <si>
    <t>Coconut Big</t>
  </si>
  <si>
    <t>Sweet Corn</t>
  </si>
  <si>
    <t>Ching's Secret Instant Schezwan Noodles</t>
  </si>
  <si>
    <t>Nissin Cup Noodles Tangy Tomato</t>
  </si>
  <si>
    <t>Ching's Secret Schezwan Fried Rice Masala</t>
  </si>
  <si>
    <t>Ching's Secret Manchow Noodles Instant Soup</t>
  </si>
  <si>
    <t>Britannia Treat Burst Choco Creme Fills</t>
  </si>
  <si>
    <t>Parle Fab Bourbon</t>
  </si>
  <si>
    <t>McVitie's Oat Cookies</t>
  </si>
  <si>
    <t>Ching’s Secret Chowmein Hakka Noodles Masala</t>
  </si>
  <si>
    <t>Britannia Pav</t>
  </si>
  <si>
    <t>Dukes Waffy Chocolate Wafers</t>
  </si>
  <si>
    <t>Baby Corn Peeled</t>
  </si>
  <si>
    <t>Mixed Sprouts</t>
  </si>
  <si>
    <t>Zucchini Green</t>
  </si>
  <si>
    <t>Tomato Cherry</t>
  </si>
  <si>
    <t>Lifebuoy Germ Protection Care Soap Bar</t>
  </si>
  <si>
    <t>Beans French</t>
  </si>
  <si>
    <t>MTR Seviyan Vermicelli</t>
  </si>
  <si>
    <t>Hajmola Anardana Digestive Tablets</t>
  </si>
  <si>
    <t>Coccinia</t>
  </si>
  <si>
    <t>Amla</t>
  </si>
  <si>
    <t>Sunfeast Mom's Magic Cashew &amp; Almond Cookies Packet</t>
  </si>
  <si>
    <t>Open Secret Choco Almond Tiffin Pack</t>
  </si>
  <si>
    <t>Top Ramen Noodles, Atta</t>
  </si>
  <si>
    <t>Garnier Colour Naturals Hair Colour - 1 Natural Black</t>
  </si>
  <si>
    <t>Origami So Soft Tissue Roll Single - 340 Pulls 3 Ply</t>
  </si>
  <si>
    <t>Hem Mantra Masala Agarbatti</t>
  </si>
  <si>
    <t>Popular Essentials Guntur Chilli Stemless</t>
  </si>
  <si>
    <t>Kitchens Of India Dal Makhani</t>
  </si>
  <si>
    <t>Om Bhakti Wick for Diya - Cotton Flower Batti</t>
  </si>
  <si>
    <t>Methi</t>
  </si>
  <si>
    <t>Sapota</t>
  </si>
  <si>
    <t>Sweet Lime</t>
  </si>
  <si>
    <t>Beans Cluster</t>
  </si>
  <si>
    <t>Chilli Bhaji</t>
  </si>
  <si>
    <t>Ridge Gourd</t>
  </si>
  <si>
    <t>Pumpkin Cut</t>
  </si>
  <si>
    <t>Ching's Manchurian Instant Noodles</t>
  </si>
  <si>
    <t>Popular Essentials Coriander Seeds</t>
  </si>
  <si>
    <t>Ching's Secret Lemon Coriander Instant Soup</t>
  </si>
  <si>
    <t>Bauli Moonfils Veg - Strawberry</t>
  </si>
  <si>
    <t>Bauli Moonfils Strawberry</t>
  </si>
  <si>
    <t>Banana Robusta</t>
  </si>
  <si>
    <t>Maggi 2 Minute Masala Noodles</t>
  </si>
  <si>
    <t>Amul Cheese Sauce Mexican Salsa</t>
  </si>
  <si>
    <t>Om Bhakti Kumkum</t>
  </si>
  <si>
    <t>24 Mantra Organic Red Poha</t>
  </si>
  <si>
    <t>Sunfeast Yippee! Pasta Treat - Sour Cream Onion</t>
  </si>
  <si>
    <t>Unibic Fruit &amp; Nut Cookies</t>
  </si>
  <si>
    <t>Whiskas Wet  Meal (Adult - Cat Food)  Chicken in Gravy</t>
  </si>
  <si>
    <t>Godrej Real Good Chicken Liver Sealed</t>
  </si>
  <si>
    <t>Chakaachak Super Scrub Pad (Pack of 3)</t>
  </si>
  <si>
    <t>Cauliflower</t>
  </si>
  <si>
    <t>Bottle Gourd</t>
  </si>
  <si>
    <t>Whiskas Wet  Meal (Kitten - Cat Food)  Chicken in Gravy</t>
  </si>
  <si>
    <t>24 Mantra Red Chilly Whole</t>
  </si>
  <si>
    <t>Amul Happy Treats French Fries</t>
  </si>
  <si>
    <t>Lettuce Iceberg</t>
  </si>
  <si>
    <t>Capsicum</t>
  </si>
  <si>
    <t>Cadbury Oreo Dipped Biscuit</t>
  </si>
  <si>
    <t>Popular Essentials Misri Dana (Diamond Sugar)</t>
  </si>
  <si>
    <t>Ching's Schezwan Masala Instant Noodles</t>
  </si>
  <si>
    <t>Ching's Chicken Chilli Masala</t>
  </si>
  <si>
    <t>Britannia Milk Bikis Biscuits Packet</t>
  </si>
  <si>
    <t>Godrej Nupur – 100% Pure Henna (Mehendi)</t>
  </si>
  <si>
    <t>Whisper Choice Regular Wing Sanitary Pad</t>
  </si>
  <si>
    <t>Colgate Kids 2+ Years Extra Soft Toothbrush</t>
  </si>
  <si>
    <t>Capsicum Green</t>
  </si>
  <si>
    <t>Lettuce Green</t>
  </si>
  <si>
    <t>The Bake Shop Whole Wheat Bread Sticks</t>
  </si>
  <si>
    <t>Pril Bar Tub</t>
  </si>
  <si>
    <t>Odonil Zipper Blissful Citrus</t>
  </si>
  <si>
    <t>Top Ramen Chicken Noodles</t>
  </si>
  <si>
    <t>Knorr Chinese Hot And Sour Veg Soup</t>
  </si>
  <si>
    <t>Coriander Leaves</t>
  </si>
  <si>
    <t>Basil</t>
  </si>
  <si>
    <t>Lettuce Red</t>
  </si>
  <si>
    <t>Zama Organics Carrot</t>
  </si>
  <si>
    <t>Britannia Fruit Bun</t>
  </si>
  <si>
    <t>Wingreens Farms Tangy Cheese Pita Chips &amp; Mexican Salsa Dip</t>
  </si>
  <si>
    <t>Ching's Secret Chicken 65 Masala - Chicken</t>
  </si>
  <si>
    <t>Wingreens Cheesy Chipotle Sauce</t>
  </si>
  <si>
    <t>Chakaachak Floor Pocha Large</t>
  </si>
  <si>
    <t>Chilli Green</t>
  </si>
  <si>
    <t>Spinach</t>
  </si>
  <si>
    <t>Brinjal Bharta</t>
  </si>
  <si>
    <t>Baby Potato</t>
  </si>
  <si>
    <t>Om Bhakti Haldi</t>
  </si>
  <si>
    <t>Bitter Gourd</t>
  </si>
  <si>
    <t>Brinjal Small</t>
  </si>
  <si>
    <t>Spring Onion</t>
  </si>
  <si>
    <t>Ching's Secret Instant Hot Garlic Noodles</t>
  </si>
  <si>
    <t>Ching's Secret Singapore Curry Instant Noodles</t>
  </si>
  <si>
    <t>Ching's Secret Asian Hot Instant Soup</t>
  </si>
  <si>
    <t>Ching's Secret Tomato Oats Instant Soup</t>
  </si>
  <si>
    <t>Britannia Nutri Choice Digestive Biscuit</t>
  </si>
  <si>
    <t>Yoga Bar Breakfast Protein Bar - Blueberry Pie</t>
  </si>
  <si>
    <t>Dukes Waffy Strawberry Wafers</t>
  </si>
  <si>
    <t>Parsley</t>
  </si>
  <si>
    <t>Sponge Gourd</t>
  </si>
  <si>
    <t>Popular Essentials Mustard Seeds Rai Small</t>
  </si>
  <si>
    <t>Saffola Yummy Masala Noodles</t>
  </si>
  <si>
    <t>The Bake Shop Foot Long</t>
  </si>
  <si>
    <t>Cabbage</t>
  </si>
  <si>
    <t>Garlic</t>
  </si>
  <si>
    <t>Chakaachak Mini Cloth Brush</t>
  </si>
  <si>
    <t>Popular Essentials White Til</t>
  </si>
  <si>
    <t>Ladies Finger</t>
  </si>
  <si>
    <t>Ginger</t>
  </si>
  <si>
    <t>Everest Chaat Masala</t>
  </si>
  <si>
    <t>Maggi Magic Cubes, Vegetarian Masala</t>
  </si>
  <si>
    <t>Curry Leaves</t>
  </si>
  <si>
    <t>Everest Chole Masala</t>
  </si>
  <si>
    <t>The Bake Shop Premium White Sandwich Bread</t>
  </si>
  <si>
    <t>The Bake Shop Pizza Base</t>
  </si>
  <si>
    <t>Ching's Secret Mix Veg Instant Soup</t>
  </si>
  <si>
    <t>Bauli Moonfils Choco Veg Puff Roll</t>
  </si>
  <si>
    <t>Parle Hide &amp; Seek Cookies With Added Almonds</t>
  </si>
  <si>
    <t>Garlic Indian</t>
  </si>
  <si>
    <t>Mint Leaves</t>
  </si>
  <si>
    <t>Open Secret White Choco Tiffin Pack</t>
  </si>
  <si>
    <t>Weikfield Tomato Salsa Instant Pasta</t>
  </si>
  <si>
    <t>Sunfeast Yippee Tricolor Pasta Seasoning</t>
  </si>
  <si>
    <t>Banana Leaf</t>
  </si>
  <si>
    <t>Top Ramen  Noodles Curry Veg Pouch</t>
  </si>
  <si>
    <t>Ching's Veg Manchurian Masala</t>
  </si>
  <si>
    <t>Ching's Secret Paneer Chilli Masala</t>
  </si>
  <si>
    <t>Chings Instant Soup - Sweet Corn Veg</t>
  </si>
  <si>
    <t>Sunfeast Marie Light</t>
  </si>
  <si>
    <t>Gellette Presto Ready Shaver</t>
  </si>
  <si>
    <t>Surf Excel Stain Eraser</t>
  </si>
  <si>
    <t>Ching's Secret Manchow Instant Soup</t>
  </si>
  <si>
    <t>Chings Instant Soup - Hot &amp; Sour</t>
  </si>
  <si>
    <t>Ching's Secret Tomato Instant Soup</t>
  </si>
  <si>
    <t>pct_of_value</t>
  </si>
  <si>
    <t>categories</t>
  </si>
  <si>
    <t>listing_count</t>
  </si>
  <si>
    <t>category_count</t>
  </si>
  <si>
    <t>weight_gms</t>
  </si>
  <si>
    <t>RRO Mozzarella Block Cheese</t>
  </si>
  <si>
    <t>Beverages | Dairy, Bread &amp; Batter</t>
  </si>
  <si>
    <t>Chef's Basket Durum Wheat Penne Pasta</t>
  </si>
  <si>
    <t>Chocolates &amp; Candies | Cooking Essentials | Ice Cream &amp; Desserts | Munchies | Packaged Food</t>
  </si>
  <si>
    <t>Dukes Waffy Chocolate Wafer Rolls</t>
  </si>
  <si>
    <t>Epigamia Fruit Yogurt Strawberry</t>
  </si>
  <si>
    <t>Sugarlite 50% Less Calories Sugar Pouch</t>
  </si>
  <si>
    <t>Cooking Essentials | Munchies</t>
  </si>
  <si>
    <t>Mother's Recipe Ginger And Garlic Paste</t>
  </si>
  <si>
    <t>Chocolates &amp; Candies | Ice Cream &amp; Desserts | Packaged Food</t>
  </si>
  <si>
    <t>Open Secret Choco Almond Story Box</t>
  </si>
  <si>
    <t>The Whole Truth Peanut Butter - Unsweetened &amp; Crunchy</t>
  </si>
  <si>
    <t>Beverages | Chocolates &amp; Candies | Dairy, Bread &amp; Batter | Ice Cream &amp; Desserts | Packaged Food</t>
  </si>
  <si>
    <t>Suguna Vitamin D Egg</t>
  </si>
  <si>
    <t>Beverages | Dairy, Bread &amp; Batter | Meats, Fish &amp; Eggs</t>
  </si>
  <si>
    <t>Sunfeast Dark Fantasy Bourbon Bliss</t>
  </si>
  <si>
    <t>Moong Sprouts</t>
  </si>
  <si>
    <t>Sunfeast Pasta Treat Pack of Tomato Cheese</t>
  </si>
  <si>
    <t>Paan Corner | Personal Care</t>
  </si>
  <si>
    <t>Dabur Honitus Herbal Cough Remedy Ayurvedic Syrup</t>
  </si>
  <si>
    <t>Scotch BOPP Packaging Tape</t>
  </si>
  <si>
    <t>Popular Essentials Sabja/Basil Seeds</t>
  </si>
  <si>
    <t>Popular Essentials Phool Makhana (Jumbo Size)</t>
  </si>
  <si>
    <t>Aashirvaad Iodised Salt</t>
  </si>
  <si>
    <t>Sunfeast Nice Biscuit</t>
  </si>
  <si>
    <t>Keya Italian Pizza Oregano</t>
  </si>
  <si>
    <t>Pillsbury Pancake Mix - Funfetti</t>
  </si>
  <si>
    <t>Eno Cooling Sachets - Cool Mint, 6 Pieces Carton</t>
  </si>
  <si>
    <t>Everest Kashmiri Lal Chilli Powder</t>
  </si>
  <si>
    <t>Kelloggs Corn Flakes With Real Strawberry Pure</t>
  </si>
  <si>
    <t>Origami Plates Plain</t>
  </si>
  <si>
    <t>Rin Fabric Whitener Detergent</t>
  </si>
  <si>
    <t>Bajaj Almond Drops Hair Oil</t>
  </si>
  <si>
    <t>Everest Turmeric Powder</t>
  </si>
  <si>
    <t>Popular Essentials Sabudana</t>
  </si>
  <si>
    <t>Parle Monaco Sixer Salted Biscuits</t>
  </si>
  <si>
    <t>Popular Essentials Black Raisins Seedless</t>
  </si>
  <si>
    <t>Britannia Nutri Choice Oats Choco Almond Biscuit</t>
  </si>
  <si>
    <t>Dabur Hommade - Imli Sauce Saunth</t>
  </si>
  <si>
    <t>Hershey's Cocoa + Almond Spread</t>
  </si>
  <si>
    <t>Madhur Pure And Hygienic Sugar</t>
  </si>
  <si>
    <t>Godrej Real Good Chicken Boneless Cubes</t>
  </si>
  <si>
    <t>Comfort After Wash Fabric Conditioner Lily Fresh</t>
  </si>
  <si>
    <t>Parachute Advansed Gold Coconut Hair Oil</t>
  </si>
  <si>
    <t>Clean &amp; Clear Morning Energy Lemon Face Wash</t>
  </si>
  <si>
    <t>Popular Essentials Buckwheat Flour (Kuttu Atta)</t>
  </si>
  <si>
    <t>Top Ramen Masala</t>
  </si>
  <si>
    <t>Oxylife Natural Radiance 5 Creme Bleach - With Active Oxygen</t>
  </si>
  <si>
    <t>Everest Chat Masala</t>
  </si>
  <si>
    <t>Scotch-Brite Scrub Sponge Ideal For Dishwash Liquid</t>
  </si>
  <si>
    <t>Popular Essentials Black Brown Chana (Un-Polished)</t>
  </si>
  <si>
    <t>Whisper Choice Sanitary Pad</t>
  </si>
  <si>
    <t>Health &amp; Hygiene | Paan Corner | Personal Care</t>
  </si>
  <si>
    <t>Mothers Recipe Papad - Sabudana With Rock Salt</t>
  </si>
  <si>
    <t>Mother's Recipe Potato Papad</t>
  </si>
  <si>
    <t>Aashirvaad Atta With Mutigrains</t>
  </si>
  <si>
    <t>Daawat Super Basmati Rice</t>
  </si>
  <si>
    <t>Odomos Mosquito Repellent Spray</t>
  </si>
  <si>
    <t>Veeba Favourites Eggless Burger Mayonnaise</t>
  </si>
  <si>
    <t>Satyam Poha Jada</t>
  </si>
  <si>
    <t>Sunfeast Dark Fantasy Choco Fills</t>
  </si>
  <si>
    <t>Unibic Choco Nut Cookies</t>
  </si>
  <si>
    <t>Chakaachak Super Steel Scrubber</t>
  </si>
  <si>
    <t>MamyPoko Pants Standard Diapers, Extra Large (12 - 17 kg)</t>
  </si>
  <si>
    <t>Gillette Venus Close &amp; Clean Razor</t>
  </si>
  <si>
    <t>Gala No Dust Broom</t>
  </si>
  <si>
    <t>Bajaj Almond Drops Hair Oil Bottle</t>
  </si>
  <si>
    <t>Del Monte Original Blend Tomato Ketchup Pouch</t>
  </si>
  <si>
    <t>Sensodyne Sensitive Fresh Gel Toothpaste</t>
  </si>
  <si>
    <t>Pro Nature Organic Sonamasoori Brown Rice</t>
  </si>
  <si>
    <t>24 Mantra Organic Whole Wheat Atta</t>
  </si>
  <si>
    <t>Satyam Thin Poha Patla</t>
  </si>
  <si>
    <t>Del Monte Eggless Mayo</t>
  </si>
  <si>
    <t>Satyam Singdana</t>
  </si>
  <si>
    <t>Tata Sampann Moong Chilka</t>
  </si>
  <si>
    <t>The Bake Shop Maska Khari</t>
  </si>
  <si>
    <t>Kellogg's Chocos Combo Pack</t>
  </si>
  <si>
    <t>Madhur Sugar</t>
  </si>
  <si>
    <t>Maggi Masala Ae Magic</t>
  </si>
  <si>
    <t>Sunfeast Yippee! Magic Masala Noodles</t>
  </si>
  <si>
    <t>Tata Sampann Poha</t>
  </si>
  <si>
    <t>Fresh Chicken Mince - Kheema (Halal)</t>
  </si>
  <si>
    <t>Safal Frozen - Sweet Corn</t>
  </si>
  <si>
    <t>Chocolates &amp; Candies | Fruits &amp; Vegetables | Ice Cream &amp; Desserts | Packaged Food</t>
  </si>
  <si>
    <t>ITC Master Chef Cheesy Corn Triangles</t>
  </si>
  <si>
    <t>Go Cheese Pizza Blend Mozzarella + Cheddar</t>
  </si>
  <si>
    <t>D'lecta Shredded Mozzarella Cheese</t>
  </si>
  <si>
    <t>Lijjat Moong Papad</t>
  </si>
  <si>
    <t>Lijjat Urad Papad</t>
  </si>
  <si>
    <t>Safal Frozen Mixed Vegetables</t>
  </si>
  <si>
    <t>Godrej Yummiez Chicken Breakfast Salami</t>
  </si>
  <si>
    <t>Chocolates &amp; Candies | Cooking Essentials | Ice Cream &amp; Desserts | Meats, Fish &amp; Eggs | Munchies | Packaged Food</t>
  </si>
  <si>
    <t>Safal Frozen Corn</t>
  </si>
  <si>
    <t>Amul Lactose Free Milk</t>
  </si>
  <si>
    <t>Surf Excel Easy Wash Detergent Powder</t>
  </si>
  <si>
    <t>Dettol Original Liquid Handwash Refill</t>
  </si>
  <si>
    <t>Amul Cheese Spread Spicy Garlic</t>
  </si>
  <si>
    <t>Nestle A+ Slim Dahi - Low Fat</t>
  </si>
  <si>
    <t>Amul Malai Paneer Fresh</t>
  </si>
  <si>
    <t>Amul Taaza Toned Homogenised Milk</t>
  </si>
  <si>
    <t>Del Monte Natural Vinegar</t>
  </si>
  <si>
    <t>Cadbury Oreo Creme Biscuit - Vanilla, Original 120 g</t>
  </si>
  <si>
    <t>Cadbury Oreo Strawberry Bicuits</t>
  </si>
  <si>
    <t>Everest Cumin Powder (Jeera)</t>
  </si>
  <si>
    <t>Stayfree Secure Cottony Soft Cover Sanitary Pad (Regular) with Wings</t>
  </si>
  <si>
    <t>Chakaachak Eazo Grass Broom New</t>
  </si>
  <si>
    <t>Tata Sampann High Protien Toor Dal - Split</t>
  </si>
  <si>
    <t>Rin Detergent Powder</t>
  </si>
  <si>
    <t>Popular Essentials Chia Seeds</t>
  </si>
  <si>
    <t>Weikfield Falooda Mix - Mango</t>
  </si>
  <si>
    <t>Dabur Gulabari Premium Rose Water</t>
  </si>
  <si>
    <t>Everest Tikhalal Hot &amp; Red Chilly Powder</t>
  </si>
  <si>
    <t>Stayfree Secure Dry Cover Extra Large Sanitary Pad</t>
  </si>
  <si>
    <t>Everest Amchur Powder</t>
  </si>
  <si>
    <t>Maggi Magic Cubes Chicken</t>
  </si>
  <si>
    <t>Parle Fab! Jam-In Cream Filled</t>
  </si>
  <si>
    <t>Britannia Bourbon Chocolate Cream Biscuits</t>
  </si>
  <si>
    <t>Pedigree Puppy Chicken Chunks in Gravy</t>
  </si>
  <si>
    <t>Everest Sambhar Masala</t>
  </si>
  <si>
    <t>Tata Sampann Unpolished Toor Dal/Arhar Dal</t>
  </si>
  <si>
    <t>Amul Pizza Cheese - Mozzarella</t>
  </si>
  <si>
    <t>Daawat Rozana Gold Basmati Rice</t>
  </si>
  <si>
    <t>Aashirvaad Superior MP Whole Wheat Atta</t>
  </si>
  <si>
    <t>Patanjali Cow's Ghee</t>
  </si>
  <si>
    <t>Zorabian Chicken Cubes</t>
  </si>
  <si>
    <t>Zorabian Chicken Mince</t>
  </si>
  <si>
    <t>Del Monte Pitted Green Olives</t>
  </si>
  <si>
    <t>Zorabian Chicken Leg Boneless</t>
  </si>
  <si>
    <t>India Gate Basmati Rice</t>
  </si>
  <si>
    <t>Zorabian Chicken Kheema Parathas</t>
  </si>
  <si>
    <t>Whisper Bindazzz Night Sanitary Pads XL Plus</t>
  </si>
  <si>
    <t>Kissan Mixed Fruit Jam</t>
  </si>
  <si>
    <t>Fresh Chicken Curry Cut - Skinless (Halal)</t>
  </si>
  <si>
    <t>Parachute 100% Pure Coconut Oil</t>
  </si>
  <si>
    <t>Fortune Besan Flour</t>
  </si>
  <si>
    <t>Everest Saffron Kesar</t>
  </si>
  <si>
    <t>Dettol Effective Protection Antiseptic Liquid</t>
  </si>
  <si>
    <t>Health &amp; Hygiene | Home &amp; Cleaning</t>
  </si>
  <si>
    <t>Godrej Cinthol Lime Refreshing Deo Soap</t>
  </si>
  <si>
    <t>Ching's Secret Veg Hakka Noodles</t>
  </si>
  <si>
    <t>Patanjali Pure Honey</t>
  </si>
  <si>
    <t>Whisper Bindazzz Nights XL + Sanitary Pad</t>
  </si>
  <si>
    <t>Nestle A+ Slim Milk</t>
  </si>
  <si>
    <t>Godrej Good Night Gold Flash Liquid Vapouriser</t>
  </si>
  <si>
    <t>Yummiez American Sweet Corn</t>
  </si>
  <si>
    <t>Amul Cheese Spread Yummy Plain</t>
  </si>
  <si>
    <t>Godrej No.1 Bathing Soap, Jasmine</t>
  </si>
  <si>
    <t>Cadbury Oreo Chocolatey Sandwich Biscuits Family Pack</t>
  </si>
  <si>
    <t>Prabhat Malai Paneer Pouch</t>
  </si>
  <si>
    <t>Britannia Marie Gold (Buy 4 Get 1 Free)</t>
  </si>
  <si>
    <t>Daawat Rozana Super Basmati Rice</t>
  </si>
  <si>
    <t>Dr Oetker Cucumber &amp; Carrot Sandwich Spread Veg</t>
  </si>
  <si>
    <t>Britannia Nutrichoice 5 Grain Digestive Biscuits</t>
  </si>
  <si>
    <t>Popular Essentials Sona Masouri Raw Rice</t>
  </si>
  <si>
    <t>Amul Slim Trim Skimmed Milk</t>
  </si>
  <si>
    <t>Maggi Special Masala Spicy Yummy Noodles</t>
  </si>
  <si>
    <t>The Bake Shop Jeera Khari</t>
  </si>
  <si>
    <t>The Bake Shop Multi Grain Bread</t>
  </si>
  <si>
    <t>Tata Sampann High Protien Chana Dal - Split</t>
  </si>
  <si>
    <t>Beverages | Cooking Essentials | Dairy, Bread &amp; Batter | Munchies</t>
  </si>
  <si>
    <t>Del Monte Schezwan Sauce</t>
  </si>
  <si>
    <t>Maggi Chilly Chow Cuppa Noodles</t>
  </si>
  <si>
    <t>Britannia Vita Marie Gold Biscuit</t>
  </si>
  <si>
    <t>Maggi 2-Minute Instant Noodles - Masala</t>
  </si>
  <si>
    <t>Popular Essentials Brown Sugar</t>
  </si>
  <si>
    <t>The Bake Shop Whole Wheat Ladi Pav</t>
  </si>
  <si>
    <t>Patanjali Atta Doodh Rusk</t>
  </si>
  <si>
    <t>The Bake Shop Whole Wheat Bread</t>
  </si>
  <si>
    <t>Britannia Cheese Garlic Bread</t>
  </si>
  <si>
    <t>Britannia Nutri Choice Cracker Sugar Free Biscuit</t>
  </si>
  <si>
    <t>Tata Tea Gold</t>
  </si>
  <si>
    <t>Britannia Marie Gold Biscuits Packet</t>
  </si>
  <si>
    <t>Britannia Atta Kulcha</t>
  </si>
  <si>
    <t>The Bake Shop Pizza Base Whole Wheat</t>
  </si>
  <si>
    <t>Britannia Marie Gold Biscuit</t>
  </si>
  <si>
    <t>Britannia Nice Time Biscuit</t>
  </si>
  <si>
    <t>MTR Vegetable Upma</t>
  </si>
  <si>
    <t>Britannia Nutri Choice Digestive Biscuits Packet</t>
  </si>
  <si>
    <t>Britannia Classic Little Hearts</t>
  </si>
  <si>
    <t>Britannia Treat Jimjam Cream Biscuits</t>
  </si>
  <si>
    <t>Ujala Superme For Super Whiteness Of Clothes</t>
  </si>
  <si>
    <t>Britannia Milk Bikis Milky Sandwich</t>
  </si>
  <si>
    <t>Mothers Recipe Rice Papad Ajwain</t>
  </si>
  <si>
    <t>Kurkure Green Chutney, Rajasthani Style</t>
  </si>
  <si>
    <t>Popular Essentials Mustard Seeds Rai Big</t>
  </si>
  <si>
    <t>The Bake Shop Burger Buns</t>
  </si>
  <si>
    <t>Saffola Oats 100 % Natural</t>
  </si>
  <si>
    <t>Bauli Moonfils - Vanilla</t>
  </si>
  <si>
    <t>Bauli Moonfils Orange Puff Roll</t>
  </si>
  <si>
    <t>Bauli Moonfils Choco Cream (With Egg)</t>
  </si>
  <si>
    <t>Good Day Butter Cookies</t>
  </si>
  <si>
    <t>Sunfeast Mom's Magic Cashew &amp; Almond Biscuit</t>
  </si>
  <si>
    <t>Britannia Roll Yo! Strawberry Swiss Roll</t>
  </si>
  <si>
    <t>Britannia Roll Yo! Choco Swiss Roll (With Egg)</t>
  </si>
  <si>
    <t>Rin Detergent Bar</t>
  </si>
  <si>
    <t>Ching's Chow Mein Hakka Noodles Masala</t>
  </si>
  <si>
    <t>Count of name</t>
  </si>
  <si>
    <t>Row Labels</t>
  </si>
  <si>
    <t>Grand Total</t>
  </si>
  <si>
    <t>Restock Priority Model</t>
  </si>
  <si>
    <t>Discount weight</t>
  </si>
  <si>
    <t>price weight</t>
  </si>
  <si>
    <t>Visibility weight</t>
  </si>
  <si>
    <t>Total</t>
  </si>
  <si>
    <t>Disc_N</t>
  </si>
  <si>
    <t>Price_N</t>
  </si>
  <si>
    <t>Vis_N</t>
  </si>
  <si>
    <t>Score</t>
  </si>
  <si>
    <t>Rank</t>
  </si>
  <si>
    <t>Product</t>
  </si>
  <si>
    <t>Price</t>
  </si>
  <si>
    <t>Discount%</t>
  </si>
  <si>
    <t>Zepto Catalog Health Audit</t>
  </si>
  <si>
    <t>3,732 product listings | PostgreSQL + Excel</t>
  </si>
  <si>
    <t>Listings -&gt; Unique Products</t>
  </si>
  <si>
    <t>Unique Products</t>
  </si>
  <si>
    <t>Out-of-stock rate</t>
  </si>
  <si>
    <t>Stock value held by Class A</t>
  </si>
  <si>
    <t>Top 10 restock priorities</t>
  </si>
  <si>
    <t>Source: Zepto product listings (Kaggle). Quantity is capped at 6, so stock value is an index.</t>
  </si>
  <si>
    <t>Base</t>
  </si>
  <si>
    <t>Discount-heavy</t>
  </si>
  <si>
    <t>Price-heavy</t>
  </si>
  <si>
    <t>Visibility-heavy</t>
  </si>
  <si>
    <t>In how many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</si>
</sst>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0"/>
      <name val="Times New Roman"/>
      <family val="1"/>
    </font>
    <font>
      <b/>
      <sz val="28"/>
      <color theme="0"/>
      <name val="Times New Roman"/>
      <family val="1"/>
    </font>
    <font>
      <sz val="10"/>
      <color theme="0"/>
      <name val="Arial Unicode MS"/>
    </font>
    <font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5" fillId="2" borderId="0" xfId="0" applyFont="1" applyFill="1"/>
    <xf numFmtId="0" fontId="4" fillId="2" borderId="0" xfId="0" applyFont="1" applyFill="1"/>
    <xf numFmtId="0" fontId="3" fillId="2" borderId="0" xfId="0" applyFont="1" applyFill="1"/>
    <xf numFmtId="1" fontId="4" fillId="2" borderId="0" xfId="0" applyNumberFormat="1" applyFont="1" applyFill="1"/>
    <xf numFmtId="2" fontId="4" fillId="2" borderId="0" xfId="0" applyNumberFormat="1" applyFont="1" applyFill="1"/>
    <xf numFmtId="0" fontId="7" fillId="2" borderId="0" xfId="0" applyFont="1" applyFill="1"/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4" fillId="4" borderId="0" xfId="0" applyFont="1" applyFill="1"/>
    <xf numFmtId="1" fontId="6" fillId="2" borderId="1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/>
    </xf>
    <xf numFmtId="10" fontId="6" fillId="2" borderId="2" xfId="1" applyNumberFormat="1" applyFont="1" applyFill="1" applyBorder="1" applyAlignment="1">
      <alignment horizontal="center"/>
    </xf>
    <xf numFmtId="10" fontId="6" fillId="2" borderId="3" xfId="1" applyNumberFormat="1" applyFont="1" applyFill="1" applyBorder="1" applyAlignment="1">
      <alignment horizontal="center"/>
    </xf>
    <xf numFmtId="9" fontId="6" fillId="2" borderId="1" xfId="1" applyFont="1" applyFill="1" applyBorder="1"/>
    <xf numFmtId="0" fontId="4" fillId="2" borderId="2" xfId="0" applyFont="1" applyFill="1" applyBorder="1"/>
    <xf numFmtId="0" fontId="4" fillId="2" borderId="3" xfId="0" applyFont="1" applyFill="1" applyBorder="1"/>
  </cellXfs>
  <cellStyles count="2">
    <cellStyle name="Normal" xfId="0" builtinId="0"/>
    <cellStyle name="Percent" xfId="1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77% of products get a discount of 10% or less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Q04a!$C$1</c:f>
              <c:strCache>
                <c:ptCount val="1"/>
                <c:pt idx="0">
                  <c:v>pct_of_products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Q04a!$A$2:$A$6</c:f>
              <c:strCache>
                <c:ptCount val="5"/>
                <c:pt idx="0">
                  <c:v>1. No discount</c:v>
                </c:pt>
                <c:pt idx="1">
                  <c:v>2. 1-10%</c:v>
                </c:pt>
                <c:pt idx="2">
                  <c:v>3. 11-20%</c:v>
                </c:pt>
                <c:pt idx="3">
                  <c:v>4. 21-30%</c:v>
                </c:pt>
                <c:pt idx="4">
                  <c:v>5. Above 30%</c:v>
                </c:pt>
              </c:strCache>
            </c:strRef>
          </c:cat>
          <c:val>
            <c:numRef>
              <c:f>Q04a!$C$2:$C$6</c:f>
              <c:numCache>
                <c:formatCode>General</c:formatCode>
                <c:ptCount val="5"/>
                <c:pt idx="0">
                  <c:v>29.8</c:v>
                </c:pt>
                <c:pt idx="1">
                  <c:v>47.3</c:v>
                </c:pt>
                <c:pt idx="2">
                  <c:v>17.3</c:v>
                </c:pt>
                <c:pt idx="3">
                  <c:v>3.6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6-4B11-9FC5-3E71E2A1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026560"/>
        <c:axId val="2040027040"/>
      </c:barChart>
      <c:catAx>
        <c:axId val="20400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27040"/>
        <c:crosses val="autoZero"/>
        <c:auto val="1"/>
        <c:lblAlgn val="ctr"/>
        <c:lblOffset val="100"/>
        <c:noMultiLvlLbl val="0"/>
      </c:catAx>
      <c:valAx>
        <c:axId val="20400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Biscuits run out of stock 2.3x more than average.</a:t>
            </a:r>
            <a:endParaRPr lang="en-US"/>
          </a:p>
        </c:rich>
      </c:tx>
      <c:layout>
        <c:manualLayout>
          <c:xMode val="edge"/>
          <c:yMode val="edge"/>
          <c:x val="0.159858803861978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'Q02'!$D$1</c:f>
              <c:strCache>
                <c:ptCount val="1"/>
                <c:pt idx="0">
                  <c:v>oos_pct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'Q02'!$A$2:$A$15</c:f>
              <c:strCache>
                <c:ptCount val="14"/>
                <c:pt idx="0">
                  <c:v>Biscuits</c:v>
                </c:pt>
                <c:pt idx="1">
                  <c:v>Beverages</c:v>
                </c:pt>
                <c:pt idx="2">
                  <c:v>Dairy, Bread &amp; Batter</c:v>
                </c:pt>
                <c:pt idx="3">
                  <c:v>Meats, Fish &amp; Eggs</c:v>
                </c:pt>
                <c:pt idx="4">
                  <c:v>Health &amp; Hygiene</c:v>
                </c:pt>
                <c:pt idx="5">
                  <c:v>Munchies</c:v>
                </c:pt>
                <c:pt idx="6">
                  <c:v>Cooking Essentials</c:v>
                </c:pt>
                <c:pt idx="7">
                  <c:v>Ice Cream &amp; Desserts</c:v>
                </c:pt>
                <c:pt idx="8">
                  <c:v>Chocolates &amp; Candies</c:v>
                </c:pt>
                <c:pt idx="9">
                  <c:v>Packaged Food</c:v>
                </c:pt>
                <c:pt idx="10">
                  <c:v>Home &amp; Cleaning</c:v>
                </c:pt>
                <c:pt idx="11">
                  <c:v>Fruits &amp; Vegetables</c:v>
                </c:pt>
                <c:pt idx="12">
                  <c:v>Personal Care</c:v>
                </c:pt>
                <c:pt idx="13">
                  <c:v>Paan Corner</c:v>
                </c:pt>
              </c:strCache>
            </c:strRef>
          </c:cat>
          <c:val>
            <c:numRef>
              <c:f>'Q02'!$D$2:$D$15</c:f>
              <c:numCache>
                <c:formatCode>General</c:formatCode>
                <c:ptCount val="14"/>
                <c:pt idx="0">
                  <c:v>28.6</c:v>
                </c:pt>
                <c:pt idx="1">
                  <c:v>21.7</c:v>
                </c:pt>
                <c:pt idx="2">
                  <c:v>21.7</c:v>
                </c:pt>
                <c:pt idx="3">
                  <c:v>19</c:v>
                </c:pt>
                <c:pt idx="4">
                  <c:v>13.4</c:v>
                </c:pt>
                <c:pt idx="5">
                  <c:v>12.5</c:v>
                </c:pt>
                <c:pt idx="6">
                  <c:v>12.5</c:v>
                </c:pt>
                <c:pt idx="7">
                  <c:v>11.6</c:v>
                </c:pt>
                <c:pt idx="8">
                  <c:v>11.6</c:v>
                </c:pt>
                <c:pt idx="9">
                  <c:v>11.6</c:v>
                </c:pt>
                <c:pt idx="10">
                  <c:v>9.8000000000000007</c:v>
                </c:pt>
                <c:pt idx="11">
                  <c:v>6.5</c:v>
                </c:pt>
                <c:pt idx="12">
                  <c:v>6.1</c:v>
                </c:pt>
                <c:pt idx="13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5-4C9B-A5BC-9EFDA467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6731168"/>
        <c:axId val="2046748448"/>
      </c:barChart>
      <c:catAx>
        <c:axId val="204673116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48448"/>
        <c:crosses val="autoZero"/>
        <c:auto val="1"/>
        <c:lblAlgn val="ctr"/>
        <c:lblOffset val="100"/>
        <c:noMultiLvlLbl val="0"/>
      </c:catAx>
      <c:valAx>
        <c:axId val="204674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sz="1000" b="0" i="0" u="none" strike="noStrike" baseline="0"/>
                  <a:t>% of listings out of stock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116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 third of in-stock products hold 70% of stock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Q09b!$E$2:$E$101</c:f>
              <c:numCache>
                <c:formatCode>General</c:formatCode>
                <c:ptCount val="100"/>
                <c:pt idx="0">
                  <c:v>8394</c:v>
                </c:pt>
                <c:pt idx="1">
                  <c:v>7830</c:v>
                </c:pt>
                <c:pt idx="2">
                  <c:v>7440</c:v>
                </c:pt>
                <c:pt idx="3">
                  <c:v>6858</c:v>
                </c:pt>
                <c:pt idx="4">
                  <c:v>6234</c:v>
                </c:pt>
                <c:pt idx="5">
                  <c:v>6210</c:v>
                </c:pt>
                <c:pt idx="6">
                  <c:v>5994</c:v>
                </c:pt>
                <c:pt idx="7">
                  <c:v>5904</c:v>
                </c:pt>
                <c:pt idx="8">
                  <c:v>5550</c:v>
                </c:pt>
                <c:pt idx="9">
                  <c:v>5394</c:v>
                </c:pt>
                <c:pt idx="10">
                  <c:v>4080</c:v>
                </c:pt>
                <c:pt idx="11">
                  <c:v>3900</c:v>
                </c:pt>
                <c:pt idx="12">
                  <c:v>3720</c:v>
                </c:pt>
                <c:pt idx="13">
                  <c:v>3720</c:v>
                </c:pt>
                <c:pt idx="14">
                  <c:v>3588</c:v>
                </c:pt>
                <c:pt idx="15">
                  <c:v>3486</c:v>
                </c:pt>
                <c:pt idx="16">
                  <c:v>3474</c:v>
                </c:pt>
                <c:pt idx="17">
                  <c:v>3468</c:v>
                </c:pt>
                <c:pt idx="18">
                  <c:v>3450</c:v>
                </c:pt>
                <c:pt idx="19">
                  <c:v>3300</c:v>
                </c:pt>
                <c:pt idx="20">
                  <c:v>3126</c:v>
                </c:pt>
                <c:pt idx="21">
                  <c:v>3126</c:v>
                </c:pt>
                <c:pt idx="22">
                  <c:v>3126</c:v>
                </c:pt>
                <c:pt idx="23">
                  <c:v>3054</c:v>
                </c:pt>
                <c:pt idx="24">
                  <c:v>3042</c:v>
                </c:pt>
                <c:pt idx="25">
                  <c:v>2975</c:v>
                </c:pt>
                <c:pt idx="26">
                  <c:v>2820</c:v>
                </c:pt>
                <c:pt idx="27">
                  <c:v>2772</c:v>
                </c:pt>
                <c:pt idx="28">
                  <c:v>2694</c:v>
                </c:pt>
                <c:pt idx="29">
                  <c:v>2664</c:v>
                </c:pt>
                <c:pt idx="30">
                  <c:v>2616</c:v>
                </c:pt>
                <c:pt idx="31">
                  <c:v>2596</c:v>
                </c:pt>
                <c:pt idx="32">
                  <c:v>2592</c:v>
                </c:pt>
                <c:pt idx="33">
                  <c:v>2547</c:v>
                </c:pt>
                <c:pt idx="34">
                  <c:v>2547</c:v>
                </c:pt>
                <c:pt idx="35">
                  <c:v>2538</c:v>
                </c:pt>
                <c:pt idx="36">
                  <c:v>2495</c:v>
                </c:pt>
                <c:pt idx="37">
                  <c:v>2490</c:v>
                </c:pt>
                <c:pt idx="38">
                  <c:v>2406</c:v>
                </c:pt>
                <c:pt idx="39">
                  <c:v>2394</c:v>
                </c:pt>
                <c:pt idx="40">
                  <c:v>2394</c:v>
                </c:pt>
                <c:pt idx="41">
                  <c:v>2376</c:v>
                </c:pt>
                <c:pt idx="42">
                  <c:v>2322</c:v>
                </c:pt>
                <c:pt idx="43">
                  <c:v>2322</c:v>
                </c:pt>
                <c:pt idx="44">
                  <c:v>2322</c:v>
                </c:pt>
                <c:pt idx="45">
                  <c:v>2310</c:v>
                </c:pt>
                <c:pt idx="46">
                  <c:v>2250</c:v>
                </c:pt>
                <c:pt idx="47">
                  <c:v>2214</c:v>
                </c:pt>
                <c:pt idx="48">
                  <c:v>2202</c:v>
                </c:pt>
                <c:pt idx="49">
                  <c:v>2200</c:v>
                </c:pt>
                <c:pt idx="50">
                  <c:v>2200</c:v>
                </c:pt>
                <c:pt idx="51">
                  <c:v>2154</c:v>
                </c:pt>
                <c:pt idx="52">
                  <c:v>2130</c:v>
                </c:pt>
                <c:pt idx="53">
                  <c:v>2100</c:v>
                </c:pt>
                <c:pt idx="54">
                  <c:v>2100</c:v>
                </c:pt>
                <c:pt idx="55">
                  <c:v>2082</c:v>
                </c:pt>
                <c:pt idx="56">
                  <c:v>2070</c:v>
                </c:pt>
                <c:pt idx="57">
                  <c:v>2040</c:v>
                </c:pt>
                <c:pt idx="58">
                  <c:v>2040</c:v>
                </c:pt>
                <c:pt idx="59">
                  <c:v>2028</c:v>
                </c:pt>
                <c:pt idx="60">
                  <c:v>2028</c:v>
                </c:pt>
                <c:pt idx="61">
                  <c:v>2004</c:v>
                </c:pt>
                <c:pt idx="62">
                  <c:v>1998</c:v>
                </c:pt>
                <c:pt idx="63">
                  <c:v>1980</c:v>
                </c:pt>
                <c:pt idx="64">
                  <c:v>1950</c:v>
                </c:pt>
                <c:pt idx="65">
                  <c:v>1944</c:v>
                </c:pt>
                <c:pt idx="66">
                  <c:v>1944</c:v>
                </c:pt>
                <c:pt idx="67">
                  <c:v>1938</c:v>
                </c:pt>
                <c:pt idx="68">
                  <c:v>1920</c:v>
                </c:pt>
                <c:pt idx="69">
                  <c:v>1920</c:v>
                </c:pt>
                <c:pt idx="70">
                  <c:v>1914</c:v>
                </c:pt>
                <c:pt idx="71">
                  <c:v>1914</c:v>
                </c:pt>
                <c:pt idx="72">
                  <c:v>1890</c:v>
                </c:pt>
                <c:pt idx="73">
                  <c:v>1872</c:v>
                </c:pt>
                <c:pt idx="74">
                  <c:v>1860</c:v>
                </c:pt>
                <c:pt idx="75">
                  <c:v>1855</c:v>
                </c:pt>
                <c:pt idx="76">
                  <c:v>1854</c:v>
                </c:pt>
                <c:pt idx="77">
                  <c:v>1854</c:v>
                </c:pt>
                <c:pt idx="78">
                  <c:v>1854</c:v>
                </c:pt>
                <c:pt idx="79">
                  <c:v>1848</c:v>
                </c:pt>
                <c:pt idx="80">
                  <c:v>1840</c:v>
                </c:pt>
                <c:pt idx="81">
                  <c:v>1836</c:v>
                </c:pt>
                <c:pt idx="82">
                  <c:v>1836</c:v>
                </c:pt>
                <c:pt idx="83">
                  <c:v>1830</c:v>
                </c:pt>
                <c:pt idx="84">
                  <c:v>1798</c:v>
                </c:pt>
                <c:pt idx="85">
                  <c:v>1794</c:v>
                </c:pt>
                <c:pt idx="86">
                  <c:v>1788</c:v>
                </c:pt>
                <c:pt idx="87">
                  <c:v>1788</c:v>
                </c:pt>
                <c:pt idx="88">
                  <c:v>1785</c:v>
                </c:pt>
                <c:pt idx="89">
                  <c:v>1782</c:v>
                </c:pt>
                <c:pt idx="90">
                  <c:v>1782</c:v>
                </c:pt>
                <c:pt idx="91">
                  <c:v>1770</c:v>
                </c:pt>
                <c:pt idx="92">
                  <c:v>1770</c:v>
                </c:pt>
                <c:pt idx="93">
                  <c:v>1770</c:v>
                </c:pt>
                <c:pt idx="94">
                  <c:v>1770</c:v>
                </c:pt>
                <c:pt idx="95">
                  <c:v>1764</c:v>
                </c:pt>
                <c:pt idx="96">
                  <c:v>1752</c:v>
                </c:pt>
                <c:pt idx="97">
                  <c:v>1752</c:v>
                </c:pt>
                <c:pt idx="98">
                  <c:v>1740</c:v>
                </c:pt>
                <c:pt idx="99">
                  <c:v>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F-4839-BF87-B5A945192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255920"/>
        <c:axId val="118325352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Q09b!$G$2:$G$101</c:f>
              <c:numCache>
                <c:formatCode>General</c:formatCode>
                <c:ptCount val="100"/>
                <c:pt idx="0">
                  <c:v>0.8</c:v>
                </c:pt>
                <c:pt idx="1">
                  <c:v>1.5</c:v>
                </c:pt>
                <c:pt idx="2">
                  <c:v>2.2000000000000002</c:v>
                </c:pt>
                <c:pt idx="3">
                  <c:v>2.9</c:v>
                </c:pt>
                <c:pt idx="4">
                  <c:v>3.5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5.2</c:v>
                </c:pt>
                <c:pt idx="8">
                  <c:v>5.7</c:v>
                </c:pt>
                <c:pt idx="9">
                  <c:v>6.2</c:v>
                </c:pt>
                <c:pt idx="10">
                  <c:v>6.6</c:v>
                </c:pt>
                <c:pt idx="11">
                  <c:v>7</c:v>
                </c:pt>
                <c:pt idx="12">
                  <c:v>7.3</c:v>
                </c:pt>
                <c:pt idx="13">
                  <c:v>7.7</c:v>
                </c:pt>
                <c:pt idx="14">
                  <c:v>8</c:v>
                </c:pt>
                <c:pt idx="15">
                  <c:v>8.3000000000000007</c:v>
                </c:pt>
                <c:pt idx="16">
                  <c:v>8.6999999999999993</c:v>
                </c:pt>
                <c:pt idx="17">
                  <c:v>9</c:v>
                </c:pt>
                <c:pt idx="18">
                  <c:v>9.3000000000000007</c:v>
                </c:pt>
                <c:pt idx="19">
                  <c:v>9.6</c:v>
                </c:pt>
                <c:pt idx="20">
                  <c:v>9.9</c:v>
                </c:pt>
                <c:pt idx="21">
                  <c:v>10.199999999999999</c:v>
                </c:pt>
                <c:pt idx="22">
                  <c:v>10.5</c:v>
                </c:pt>
                <c:pt idx="23">
                  <c:v>10.8</c:v>
                </c:pt>
                <c:pt idx="24">
                  <c:v>11.1</c:v>
                </c:pt>
                <c:pt idx="25">
                  <c:v>11.4</c:v>
                </c:pt>
                <c:pt idx="26">
                  <c:v>11.6</c:v>
                </c:pt>
                <c:pt idx="27">
                  <c:v>11.9</c:v>
                </c:pt>
                <c:pt idx="28">
                  <c:v>12.2</c:v>
                </c:pt>
                <c:pt idx="29">
                  <c:v>12.4</c:v>
                </c:pt>
                <c:pt idx="30">
                  <c:v>12.7</c:v>
                </c:pt>
                <c:pt idx="31">
                  <c:v>12.9</c:v>
                </c:pt>
                <c:pt idx="32">
                  <c:v>13.2</c:v>
                </c:pt>
                <c:pt idx="33">
                  <c:v>13.4</c:v>
                </c:pt>
                <c:pt idx="34">
                  <c:v>13.6</c:v>
                </c:pt>
                <c:pt idx="35">
                  <c:v>13.9</c:v>
                </c:pt>
                <c:pt idx="36">
                  <c:v>14.1</c:v>
                </c:pt>
                <c:pt idx="37">
                  <c:v>14.3</c:v>
                </c:pt>
                <c:pt idx="38">
                  <c:v>14.6</c:v>
                </c:pt>
                <c:pt idx="39">
                  <c:v>14.8</c:v>
                </c:pt>
                <c:pt idx="40">
                  <c:v>15</c:v>
                </c:pt>
                <c:pt idx="41">
                  <c:v>15.2</c:v>
                </c:pt>
                <c:pt idx="42">
                  <c:v>15.5</c:v>
                </c:pt>
                <c:pt idx="43">
                  <c:v>15.7</c:v>
                </c:pt>
                <c:pt idx="44">
                  <c:v>15.9</c:v>
                </c:pt>
                <c:pt idx="45">
                  <c:v>16.100000000000001</c:v>
                </c:pt>
                <c:pt idx="46">
                  <c:v>16.3</c:v>
                </c:pt>
                <c:pt idx="47">
                  <c:v>16.5</c:v>
                </c:pt>
                <c:pt idx="48">
                  <c:v>16.8</c:v>
                </c:pt>
                <c:pt idx="49">
                  <c:v>17</c:v>
                </c:pt>
                <c:pt idx="50">
                  <c:v>17.2</c:v>
                </c:pt>
                <c:pt idx="51">
                  <c:v>17.399999999999999</c:v>
                </c:pt>
                <c:pt idx="52">
                  <c:v>17.600000000000001</c:v>
                </c:pt>
                <c:pt idx="53">
                  <c:v>17.8</c:v>
                </c:pt>
                <c:pt idx="54">
                  <c:v>18</c:v>
                </c:pt>
                <c:pt idx="55">
                  <c:v>18.2</c:v>
                </c:pt>
                <c:pt idx="56">
                  <c:v>18.399999999999999</c:v>
                </c:pt>
                <c:pt idx="57">
                  <c:v>18.600000000000001</c:v>
                </c:pt>
                <c:pt idx="58">
                  <c:v>18.7</c:v>
                </c:pt>
                <c:pt idx="59">
                  <c:v>18.899999999999999</c:v>
                </c:pt>
                <c:pt idx="60">
                  <c:v>19.100000000000001</c:v>
                </c:pt>
                <c:pt idx="61">
                  <c:v>19.3</c:v>
                </c:pt>
                <c:pt idx="62">
                  <c:v>19.5</c:v>
                </c:pt>
                <c:pt idx="63">
                  <c:v>19.7</c:v>
                </c:pt>
                <c:pt idx="64">
                  <c:v>19.899999999999999</c:v>
                </c:pt>
                <c:pt idx="65">
                  <c:v>20.100000000000001</c:v>
                </c:pt>
                <c:pt idx="66">
                  <c:v>20.2</c:v>
                </c:pt>
                <c:pt idx="67">
                  <c:v>20.399999999999999</c:v>
                </c:pt>
                <c:pt idx="68">
                  <c:v>20.6</c:v>
                </c:pt>
                <c:pt idx="69">
                  <c:v>20.8</c:v>
                </c:pt>
                <c:pt idx="70">
                  <c:v>21</c:v>
                </c:pt>
                <c:pt idx="71">
                  <c:v>21.2</c:v>
                </c:pt>
                <c:pt idx="72">
                  <c:v>21.3</c:v>
                </c:pt>
                <c:pt idx="73">
                  <c:v>21.5</c:v>
                </c:pt>
                <c:pt idx="74">
                  <c:v>21.7</c:v>
                </c:pt>
                <c:pt idx="75">
                  <c:v>21.9</c:v>
                </c:pt>
                <c:pt idx="76">
                  <c:v>22</c:v>
                </c:pt>
                <c:pt idx="77">
                  <c:v>22.2</c:v>
                </c:pt>
                <c:pt idx="78">
                  <c:v>22.4</c:v>
                </c:pt>
                <c:pt idx="79">
                  <c:v>22.6</c:v>
                </c:pt>
                <c:pt idx="80">
                  <c:v>22.7</c:v>
                </c:pt>
                <c:pt idx="81">
                  <c:v>22.9</c:v>
                </c:pt>
                <c:pt idx="82">
                  <c:v>23.1</c:v>
                </c:pt>
                <c:pt idx="83">
                  <c:v>23.3</c:v>
                </c:pt>
                <c:pt idx="84">
                  <c:v>23.4</c:v>
                </c:pt>
                <c:pt idx="85">
                  <c:v>23.6</c:v>
                </c:pt>
                <c:pt idx="86">
                  <c:v>23.8</c:v>
                </c:pt>
                <c:pt idx="87">
                  <c:v>23.9</c:v>
                </c:pt>
                <c:pt idx="88">
                  <c:v>24.1</c:v>
                </c:pt>
                <c:pt idx="89">
                  <c:v>24.3</c:v>
                </c:pt>
                <c:pt idx="90">
                  <c:v>24.4</c:v>
                </c:pt>
                <c:pt idx="91">
                  <c:v>24.6</c:v>
                </c:pt>
                <c:pt idx="92">
                  <c:v>24.8</c:v>
                </c:pt>
                <c:pt idx="93">
                  <c:v>24.9</c:v>
                </c:pt>
                <c:pt idx="94">
                  <c:v>25.1</c:v>
                </c:pt>
                <c:pt idx="95">
                  <c:v>25.3</c:v>
                </c:pt>
                <c:pt idx="96">
                  <c:v>25.4</c:v>
                </c:pt>
                <c:pt idx="97">
                  <c:v>25.6</c:v>
                </c:pt>
                <c:pt idx="98">
                  <c:v>25.8</c:v>
                </c:pt>
                <c:pt idx="99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F-4839-BF87-B5A945192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001520"/>
        <c:axId val="846002480"/>
      </c:lineChart>
      <c:catAx>
        <c:axId val="1183255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53520"/>
        <c:crosses val="autoZero"/>
        <c:auto val="1"/>
        <c:lblAlgn val="ctr"/>
        <c:lblOffset val="100"/>
        <c:noMultiLvlLbl val="0"/>
      </c:catAx>
      <c:valAx>
        <c:axId val="11832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55920"/>
        <c:crosses val="autoZero"/>
        <c:crossBetween val="between"/>
      </c:valAx>
      <c:valAx>
        <c:axId val="846002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01520"/>
        <c:crosses val="max"/>
        <c:crossBetween val="between"/>
      </c:valAx>
      <c:catAx>
        <c:axId val="846001520"/>
        <c:scaling>
          <c:orientation val="minMax"/>
        </c:scaling>
        <c:delete val="1"/>
        <c:axPos val="b"/>
        <c:majorTickMark val="out"/>
        <c:minorTickMark val="none"/>
        <c:tickLblPos val="nextTo"/>
        <c:crossAx val="846002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[zepto_audit.xlsx]pivot Q8!PivotTable3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29 of 101 bigger packs cost more per 100g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Q8'!$B$1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Q8'!$A$2:$A$5</c:f>
              <c:strCache>
                <c:ptCount val="3"/>
                <c:pt idx="0">
                  <c:v>Bigger pack cheaper</c:v>
                </c:pt>
                <c:pt idx="1">
                  <c:v>Bigger pack costs MORE</c:v>
                </c:pt>
                <c:pt idx="2">
                  <c:v>Same rate</c:v>
                </c:pt>
              </c:strCache>
            </c:strRef>
          </c:cat>
          <c:val>
            <c:numRef>
              <c:f>'pivot Q8'!$B$2:$B$5</c:f>
              <c:numCache>
                <c:formatCode>General</c:formatCode>
                <c:ptCount val="3"/>
                <c:pt idx="0">
                  <c:v>69</c:v>
                </c:pt>
                <c:pt idx="1">
                  <c:v>29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2-4540-95C3-EDDDDA65E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479792"/>
        <c:axId val="1204480752"/>
      </c:barChart>
      <c:catAx>
        <c:axId val="12044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80752"/>
        <c:crosses val="autoZero"/>
        <c:auto val="1"/>
        <c:lblAlgn val="ctr"/>
        <c:lblOffset val="100"/>
        <c:noMultiLvlLbl val="0"/>
      </c:catAx>
      <c:valAx>
        <c:axId val="12044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7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Class A products hold 70% of stock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Q09c!$E$1</c:f>
              <c:strCache>
                <c:ptCount val="1"/>
                <c:pt idx="0">
                  <c:v>pct_of_value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7A-4A32-8CC1-93CFD317C1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7A-4A32-8CC1-93CFD317C1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7A-4A32-8CC1-93CFD317C1B9}"/>
              </c:ext>
            </c:extLst>
          </c:dPt>
          <c:cat>
            <c:strRef>
              <c:f>Q09c!$A$2:$A$4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Q09c!$E$2:$E$4</c:f>
              <c:numCache>
                <c:formatCode>General</c:formatCode>
                <c:ptCount val="3"/>
                <c:pt idx="0">
                  <c:v>70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C-4F26-A309-22BC17D1D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Discounts don’t rise steadily with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Q05a!$C$1</c:f>
              <c:strCache>
                <c:ptCount val="1"/>
                <c:pt idx="0">
                  <c:v>avg_discount_pct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Q05a!$A$2:$A$6</c:f>
              <c:strCache>
                <c:ptCount val="5"/>
                <c:pt idx="0">
                  <c:v>1. Under Rs100</c:v>
                </c:pt>
                <c:pt idx="1">
                  <c:v>2. Rs100-249</c:v>
                </c:pt>
                <c:pt idx="2">
                  <c:v>3. Rs250-499</c:v>
                </c:pt>
                <c:pt idx="3">
                  <c:v>4. Rs500-999</c:v>
                </c:pt>
                <c:pt idx="4">
                  <c:v>5. Rs1000+</c:v>
                </c:pt>
              </c:strCache>
            </c:strRef>
          </c:cat>
          <c:val>
            <c:numRef>
              <c:f>Q05a!$C$2:$C$6</c:f>
              <c:numCache>
                <c:formatCode>General</c:formatCode>
                <c:ptCount val="5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7.2</c:v>
                </c:pt>
                <c:pt idx="4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7-4995-8341-4A85E7FEB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801984"/>
        <c:axId val="1379802464"/>
      </c:barChart>
      <c:catAx>
        <c:axId val="13798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02464"/>
        <c:crosses val="autoZero"/>
        <c:auto val="1"/>
        <c:lblAlgn val="ctr"/>
        <c:lblOffset val="100"/>
        <c:noMultiLvlLbl val="0"/>
      </c:catAx>
      <c:valAx>
        <c:axId val="137980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0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833437</xdr:colOff>
      <xdr:row>21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381FAC-3429-47C4-BC14-D03ABE7A5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6</xdr:col>
      <xdr:colOff>859630</xdr:colOff>
      <xdr:row>20</xdr:row>
      <xdr:rowOff>176213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37BED7-7E00-4B50-8164-B7BA0A587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648685</xdr:colOff>
      <xdr:row>22</xdr:row>
      <xdr:rowOff>0</xdr:rowOff>
    </xdr:from>
    <xdr:to>
      <xdr:col>6</xdr:col>
      <xdr:colOff>853964</xdr:colOff>
      <xdr:row>37</xdr:row>
      <xdr:rowOff>24633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2A36B2-41F7-4EA3-BBF4-B18AC2F56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12</xdr:col>
      <xdr:colOff>812908</xdr:colOff>
      <xdr:row>37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8FDDD7-7E63-46D5-92EC-64898B90F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607218</xdr:colOff>
      <xdr:row>6</xdr:row>
      <xdr:rowOff>38100</xdr:rowOff>
    </xdr:from>
    <xdr:to>
      <xdr:col>7</xdr:col>
      <xdr:colOff>226218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D76759-27D7-B031-1477-5A6B94513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545306</xdr:colOff>
      <xdr:row>8</xdr:row>
      <xdr:rowOff>33337</xdr:rowOff>
    </xdr:from>
    <xdr:to>
      <xdr:col>5</xdr:col>
      <xdr:colOff>335756</xdr:colOff>
      <xdr:row>23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9DF0B-324D-49F0-0317-861149596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" refreshedDate="46317.653277199075" createdVersion="8" refreshedVersion="8" minRefreshableVersion="3" recordCount="101" xr:uid="{54F4D8A8-726B-4EEA-A13C-46A23030F08F}">
  <cacheSource type="worksheet">
    <worksheetSource name="tblQ08"/>
  </cacheSource>
  <cacheFields count="7">
    <cacheField name="name" numFmtId="0">
      <sharedItems/>
    </cacheField>
    <cacheField name="from_weight_g" numFmtId="0">
      <sharedItems containsSemiMixedTypes="0" containsString="0" containsNumber="1" containsInteger="1" minValue="50" maxValue="2000"/>
    </cacheField>
    <cacheField name="to_weight_g" numFmtId="0">
      <sharedItems containsSemiMixedTypes="0" containsString="0" containsNumber="1" containsInteger="1" minValue="75" maxValue="10000"/>
    </cacheField>
    <cacheField name="prev_price_per_100g" numFmtId="0">
      <sharedItems containsSemiMixedTypes="0" containsString="0" containsNumber="1" minValue="2.1" maxValue="502"/>
    </cacheField>
    <cacheField name="price_per_100g" numFmtId="0">
      <sharedItems containsSemiMixedTypes="0" containsString="0" containsNumber="1" minValue="1.9" maxValue="131.5"/>
    </cacheField>
    <cacheField name="change_pct" numFmtId="0">
      <sharedItems containsSemiMixedTypes="0" containsString="0" containsNumber="1" minValue="-97.9" maxValue="47.8"/>
    </cacheField>
    <cacheField name="verdict" numFmtId="0">
      <sharedItems count="3">
        <s v="Bigger pack costs MORE"/>
        <s v="Same rate"/>
        <s v="Bigger pack cheap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Godrej No.1 Bathing Soap – Lime &amp; Aloe Vera"/>
    <n v="500"/>
    <n v="600"/>
    <n v="16.8"/>
    <n v="24.83"/>
    <n v="47.8"/>
    <x v="0"/>
  </r>
  <r>
    <s v="Dove Daily Shine Shampoo"/>
    <n v="340"/>
    <n v="650"/>
    <n v="70.59"/>
    <n v="94.15"/>
    <n v="33.4"/>
    <x v="0"/>
  </r>
  <r>
    <s v="Britannia Good Day Cashew Cookies"/>
    <n v="60"/>
    <n v="100"/>
    <n v="16.670000000000002"/>
    <n v="20"/>
    <n v="20"/>
    <x v="0"/>
  </r>
  <r>
    <s v="Pillsbury Atta/Godihittu - Chakki Fresh"/>
    <n v="2000"/>
    <n v="5000"/>
    <n v="4.7"/>
    <n v="5.5"/>
    <n v="17"/>
    <x v="0"/>
  </r>
  <r>
    <s v="Sunsilk Lusciously Thick &amp; Long Shampoo"/>
    <n v="340"/>
    <n v="650"/>
    <n v="68.819999999999993"/>
    <n v="80.150000000000006"/>
    <n v="16.5"/>
    <x v="0"/>
  </r>
  <r>
    <s v="Pantene Advanced Hair Fall Solution Shampoo - Total Damage Care"/>
    <n v="180"/>
    <n v="340"/>
    <n v="66.67"/>
    <n v="77.650000000000006"/>
    <n v="16.5"/>
    <x v="0"/>
  </r>
  <r>
    <s v="Pedigree Puppy Dry Dog Food Food Chicken &amp; Milk"/>
    <n v="1200"/>
    <n v="3000"/>
    <n v="19.329999999999998"/>
    <n v="21.6"/>
    <n v="11.7"/>
    <x v="0"/>
  </r>
  <r>
    <s v="Lux International Creamy White Soap Bar"/>
    <n v="75"/>
    <n v="125"/>
    <n v="45.33"/>
    <n v="50.4"/>
    <n v="11.2"/>
    <x v="0"/>
  </r>
  <r>
    <s v="Ariel Matic Top Load Detergent Washing Powder"/>
    <n v="1000"/>
    <n v="2000"/>
    <n v="22.5"/>
    <n v="24.95"/>
    <n v="10.9"/>
    <x v="0"/>
  </r>
  <r>
    <s v="Fortune Soyabean Oil"/>
    <n v="1000"/>
    <n v="5000"/>
    <n v="18.100000000000001"/>
    <n v="19.98"/>
    <n v="10.4"/>
    <x v="0"/>
  </r>
  <r>
    <s v="Britannia Good Day Pista Badam"/>
    <n v="100"/>
    <n v="200"/>
    <n v="20"/>
    <n v="22"/>
    <n v="10"/>
    <x v="0"/>
  </r>
  <r>
    <s v="Smith &amp; Jones Masala Noodles"/>
    <n v="360"/>
    <n v="480"/>
    <n v="16.940000000000001"/>
    <n v="18.54"/>
    <n v="9.4"/>
    <x v="0"/>
  </r>
  <r>
    <s v="Dove Daily Shine Conditioner"/>
    <n v="80"/>
    <n v="175"/>
    <n v="101.25"/>
    <n v="108.57"/>
    <n v="7.2"/>
    <x v="0"/>
  </r>
  <r>
    <s v="Mother's Recipe Mixed Pickle"/>
    <n v="300"/>
    <n v="400"/>
    <n v="25.67"/>
    <n v="27.5"/>
    <n v="7.1"/>
    <x v="0"/>
  </r>
  <r>
    <s v="Everest Kitchen King Masala"/>
    <n v="100"/>
    <n v="200"/>
    <n v="60"/>
    <n v="64"/>
    <n v="6.7"/>
    <x v="0"/>
  </r>
  <r>
    <s v="Everest Pav Bhaji Masala"/>
    <n v="50"/>
    <n v="100"/>
    <n v="66"/>
    <n v="70"/>
    <n v="6.1"/>
    <x v="0"/>
  </r>
  <r>
    <s v="Sugarfree Gold Low Calorie Sweetner"/>
    <n v="110"/>
    <n v="300"/>
    <n v="55.45"/>
    <n v="58.33"/>
    <n v="5.2"/>
    <x v="0"/>
  </r>
  <r>
    <s v="Listerine Fresh Burst Mouthwash"/>
    <n v="250"/>
    <n v="500"/>
    <n v="50.4"/>
    <n v="52.6"/>
    <n v="4.4000000000000004"/>
    <x v="0"/>
  </r>
  <r>
    <s v="Kellogg's Real Almond &amp; Honey Corn Flakes"/>
    <n v="650"/>
    <n v="1000"/>
    <n v="49.85"/>
    <n v="52"/>
    <n v="4.3"/>
    <x v="0"/>
  </r>
  <r>
    <s v="Vim Dishwash Bar"/>
    <n v="300"/>
    <n v="600"/>
    <n v="7.33"/>
    <n v="7.5"/>
    <n v="2.2999999999999998"/>
    <x v="0"/>
  </r>
  <r>
    <s v="Dabur Ginger Garlic Paste"/>
    <n v="100"/>
    <n v="200"/>
    <n v="23"/>
    <n v="23.5"/>
    <n v="2.2000000000000002"/>
    <x v="0"/>
  </r>
  <r>
    <s v="Everest Shahi Biryani Masala"/>
    <n v="50"/>
    <n v="200"/>
    <n v="120"/>
    <n v="122.5"/>
    <n v="2.1"/>
    <x v="0"/>
  </r>
  <r>
    <s v="Parle Hide &amp; Seek Choco Rolls"/>
    <n v="75"/>
    <n v="120"/>
    <n v="40"/>
    <n v="40.83"/>
    <n v="2.1"/>
    <x v="0"/>
  </r>
  <r>
    <s v="Dove Hair Fall Rescue Shampoo"/>
    <n v="180"/>
    <n v="340"/>
    <n v="68.33"/>
    <n v="69.41"/>
    <n v="1.6"/>
    <x v="0"/>
  </r>
  <r>
    <s v="Everest Coriander Powder"/>
    <n v="100"/>
    <n v="200"/>
    <n v="31"/>
    <n v="31.5"/>
    <n v="1.6"/>
    <x v="0"/>
  </r>
  <r>
    <s v="Amul Delicious Fat Spread - Cholesterol Free"/>
    <n v="100"/>
    <n v="500"/>
    <n v="17"/>
    <n v="17.2"/>
    <n v="1.2"/>
    <x v="0"/>
  </r>
  <r>
    <s v="Popular Essentials Toor Dal (Un-Polished)"/>
    <n v="500"/>
    <n v="1000"/>
    <n v="14.8"/>
    <n v="14.9"/>
    <n v="0.7"/>
    <x v="0"/>
  </r>
  <r>
    <s v="Pantai Green Curry Paste"/>
    <n v="50"/>
    <n v="114"/>
    <n v="112"/>
    <n v="112.28"/>
    <n v="0.3"/>
    <x v="0"/>
  </r>
  <r>
    <s v="Amul Pure Ghee (Pouch)"/>
    <n v="500"/>
    <n v="1000"/>
    <n v="49.8"/>
    <n v="49.9"/>
    <n v="0.2"/>
    <x v="0"/>
  </r>
  <r>
    <s v="Nestle A+ Nourish Dahi"/>
    <n v="200"/>
    <n v="400"/>
    <n v="17"/>
    <n v="17"/>
    <n v="0"/>
    <x v="1"/>
  </r>
  <r>
    <s v="Johnson's Baby Soap"/>
    <n v="100"/>
    <n v="150"/>
    <n v="70"/>
    <n v="70"/>
    <n v="0"/>
    <x v="1"/>
  </r>
  <r>
    <s v="Britannia Burger Bun with Sesame Seed"/>
    <n v="100"/>
    <n v="200"/>
    <n v="15"/>
    <n v="15"/>
    <n v="0"/>
    <x v="1"/>
  </r>
  <r>
    <s v="Lizol Disinfectant Surface &amp; Floor Cleaner Liquid Floral"/>
    <n v="500"/>
    <n v="975"/>
    <n v="19.399999999999999"/>
    <n v="19.28"/>
    <n v="-0.6"/>
    <x v="2"/>
  </r>
  <r>
    <s v="Everest Garam Masala"/>
    <n v="100"/>
    <n v="200"/>
    <n v="72"/>
    <n v="71"/>
    <n v="-1.4"/>
    <x v="2"/>
  </r>
  <r>
    <s v="Amul Butter - Pasteurised"/>
    <n v="100"/>
    <n v="500"/>
    <n v="49"/>
    <n v="48"/>
    <n v="-2"/>
    <x v="2"/>
  </r>
  <r>
    <s v="Tata Sampann Kala Chana"/>
    <n v="500"/>
    <n v="1000"/>
    <n v="12.8"/>
    <n v="12.5"/>
    <n v="-2.2999999999999998"/>
    <x v="2"/>
  </r>
  <r>
    <s v="Potato"/>
    <n v="1000"/>
    <n v="3000"/>
    <n v="2.9"/>
    <n v="2.8"/>
    <n v="-3.4"/>
    <x v="2"/>
  </r>
  <r>
    <s v="Ching's Secret Just Soak - Veg Hakka Noodles"/>
    <n v="150"/>
    <n v="600"/>
    <n v="20"/>
    <n v="19.170000000000002"/>
    <n v="-4.2"/>
    <x v="2"/>
  </r>
  <r>
    <s v="Everest Chicken Masala"/>
    <n v="50"/>
    <n v="100"/>
    <n v="76"/>
    <n v="72"/>
    <n v="-5.3"/>
    <x v="2"/>
  </r>
  <r>
    <s v="Kellogg's Real Almond &amp; Honey Corn Flakes"/>
    <n v="300"/>
    <n v="650"/>
    <n v="52.67"/>
    <n v="49.85"/>
    <n v="-5.4"/>
    <x v="2"/>
  </r>
  <r>
    <s v="Head &amp; Shoulders Anti-Dandruff Smooth &amp; Silky Shampoo"/>
    <n v="180"/>
    <n v="340"/>
    <n v="83.33"/>
    <n v="78.239999999999995"/>
    <n v="-6.1"/>
    <x v="2"/>
  </r>
  <r>
    <s v="Popular Essentials Californian Almond"/>
    <n v="250"/>
    <n v="500"/>
    <n v="100.4"/>
    <n v="94"/>
    <n v="-6.4"/>
    <x v="2"/>
  </r>
  <r>
    <s v="Pantai Red Curry Paste"/>
    <n v="50"/>
    <n v="114"/>
    <n v="120"/>
    <n v="112.28"/>
    <n v="-6.4"/>
    <x v="2"/>
  </r>
  <r>
    <s v="Quaker Oats"/>
    <n v="400"/>
    <n v="1000"/>
    <n v="19.75"/>
    <n v="18.399999999999999"/>
    <n v="-6.8"/>
    <x v="2"/>
  </r>
  <r>
    <s v="Yummiez Green Peas"/>
    <n v="500"/>
    <n v="1000"/>
    <n v="27"/>
    <n v="25"/>
    <n v="-7.4"/>
    <x v="2"/>
  </r>
  <r>
    <s v="Britannia Good Day Cashew Cookies Packet"/>
    <n v="200"/>
    <n v="600"/>
    <n v="19"/>
    <n v="17.600000000000001"/>
    <n v="-7.4"/>
    <x v="2"/>
  </r>
  <r>
    <s v="Lizol Double Concentrate Disinfectant Floor Cleaner Citrus"/>
    <n v="900"/>
    <n v="1900"/>
    <n v="34.22"/>
    <n v="31.47"/>
    <n v="-8"/>
    <x v="2"/>
  </r>
  <r>
    <s v="Himalaya Anti Hair Fall Shampoo"/>
    <n v="200"/>
    <n v="700"/>
    <n v="57"/>
    <n v="52.43"/>
    <n v="-8"/>
    <x v="2"/>
  </r>
  <r>
    <s v="Everest Chicken Masala"/>
    <n v="100"/>
    <n v="200"/>
    <n v="72"/>
    <n v="66"/>
    <n v="-8.3000000000000007"/>
    <x v="2"/>
  </r>
  <r>
    <s v="Himalaya Baby Lotion"/>
    <n v="200"/>
    <n v="400"/>
    <n v="72.5"/>
    <n v="66"/>
    <n v="-9"/>
    <x v="2"/>
  </r>
  <r>
    <s v="Lotte Choco Pie"/>
    <n v="168"/>
    <n v="336"/>
    <n v="42.86"/>
    <n v="38.99"/>
    <n v="-9"/>
    <x v="2"/>
  </r>
  <r>
    <s v="Dabur Meswak Toothpaste"/>
    <n v="100"/>
    <n v="200"/>
    <n v="55"/>
    <n v="50"/>
    <n v="-9.1"/>
    <x v="2"/>
  </r>
  <r>
    <s v="Himalaya Gentle Baby Shampoo"/>
    <n v="200"/>
    <n v="400"/>
    <n v="73"/>
    <n v="66.25"/>
    <n v="-9.1999999999999993"/>
    <x v="2"/>
  </r>
  <r>
    <s v="RRO Til Dil Premium Til Oil Bottle"/>
    <n v="500"/>
    <n v="1000"/>
    <n v="32.4"/>
    <n v="29.4"/>
    <n v="-9.3000000000000007"/>
    <x v="2"/>
  </r>
  <r>
    <s v="Onion"/>
    <n v="1000"/>
    <n v="3000"/>
    <n v="2.1"/>
    <n v="1.9"/>
    <n v="-9.5"/>
    <x v="2"/>
  </r>
  <r>
    <s v="Kellogg's Original Corn Flakes"/>
    <n v="475"/>
    <n v="875"/>
    <n v="36.840000000000003"/>
    <n v="33.14"/>
    <n v="-10"/>
    <x v="2"/>
  </r>
  <r>
    <s v="MTR Roasted Vermicelli"/>
    <n v="400"/>
    <n v="850"/>
    <n v="13.75"/>
    <n v="12.35"/>
    <n v="-10.199999999999999"/>
    <x v="2"/>
  </r>
  <r>
    <s v="Closeup Everfresh+ Anti-Germ Gel Toothpaste Red Hot"/>
    <n v="150"/>
    <n v="300"/>
    <n v="54"/>
    <n v="48"/>
    <n v="-11.1"/>
    <x v="2"/>
  </r>
  <r>
    <s v="Popular Essentials HMT Kolam Steam"/>
    <n v="1000"/>
    <n v="5000"/>
    <n v="7.5"/>
    <n v="6.66"/>
    <n v="-11.2"/>
    <x v="2"/>
  </r>
  <r>
    <s v="Popular Essentials Refined Sugar"/>
    <n v="1000"/>
    <n v="5000"/>
    <n v="6"/>
    <n v="5.3"/>
    <n v="-11.7"/>
    <x v="2"/>
  </r>
  <r>
    <s v="Closeup Everfresh+ Anti-Germ Gel Toothpaste Red Hot"/>
    <n v="80"/>
    <n v="150"/>
    <n v="61.25"/>
    <n v="54"/>
    <n v="-11.8"/>
    <x v="2"/>
  </r>
  <r>
    <s v="Arden Eggs White"/>
    <n v="348"/>
    <n v="696"/>
    <n v="15.8"/>
    <n v="13.94"/>
    <n v="-11.8"/>
    <x v="2"/>
  </r>
  <r>
    <s v="Everest Tandoori Chicken Masala"/>
    <n v="50"/>
    <n v="100"/>
    <n v="76"/>
    <n v="67"/>
    <n v="-11.8"/>
    <x v="2"/>
  </r>
  <r>
    <s v="Popular Essentials Ajwain Whole"/>
    <n v="50"/>
    <n v="100"/>
    <n v="50"/>
    <n v="44"/>
    <n v="-12"/>
    <x v="2"/>
  </r>
  <r>
    <s v="Everest Garam Masala"/>
    <n v="50"/>
    <n v="100"/>
    <n v="82"/>
    <n v="72"/>
    <n v="-12.2"/>
    <x v="2"/>
  </r>
  <r>
    <s v="Johnson's Baby Oil"/>
    <n v="100"/>
    <n v="200"/>
    <n v="115"/>
    <n v="100"/>
    <n v="-13"/>
    <x v="2"/>
  </r>
  <r>
    <s v="Listerine Original Mouthwash"/>
    <n v="80"/>
    <n v="250"/>
    <n v="62.5"/>
    <n v="54"/>
    <n v="-13.6"/>
    <x v="2"/>
  </r>
  <r>
    <s v="Britannia Good Day Cashew Cookies"/>
    <n v="100"/>
    <n v="1000"/>
    <n v="20"/>
    <n v="17.2"/>
    <n v="-14"/>
    <x v="2"/>
  </r>
  <r>
    <s v="Kellogg's Special K Original Corn Flakes"/>
    <n v="290"/>
    <n v="900"/>
    <n v="45.86"/>
    <n v="39.44"/>
    <n v="-14"/>
    <x v="2"/>
  </r>
  <r>
    <s v="Clean &amp; Clear Foaming Face Wash"/>
    <n v="100"/>
    <n v="150"/>
    <n v="126"/>
    <n v="108"/>
    <n v="-14.3"/>
    <x v="2"/>
  </r>
  <r>
    <s v="Britannia Toastea Premium Bake Rusk"/>
    <n v="300"/>
    <n v="700"/>
    <n v="15.67"/>
    <n v="13.43"/>
    <n v="-14.3"/>
    <x v="2"/>
  </r>
  <r>
    <s v="Himalaya Anti Dandruff Shampoo"/>
    <n v="200"/>
    <n v="400"/>
    <n v="63"/>
    <n v="53.25"/>
    <n v="-15.5"/>
    <x v="2"/>
  </r>
  <r>
    <s v="Nivea Soft Light Moisturizer for Face Hand &amp; Body Non-Sticky Cream with Vitamin E &amp; Jojoba Oil"/>
    <n v="100"/>
    <n v="200"/>
    <n v="157"/>
    <n v="131.5"/>
    <n v="-16.2"/>
    <x v="2"/>
  </r>
  <r>
    <s v="Everest Kitchen King Masala"/>
    <n v="50"/>
    <n v="100"/>
    <n v="72"/>
    <n v="60"/>
    <n v="-16.7"/>
    <x v="2"/>
  </r>
  <r>
    <s v="Fine Life Cotton Balls"/>
    <n v="50"/>
    <n v="100"/>
    <n v="120"/>
    <n v="99"/>
    <n v="-17.5"/>
    <x v="2"/>
  </r>
  <r>
    <s v="Johnson's Baby Powder"/>
    <n v="200"/>
    <n v="400"/>
    <n v="71.5"/>
    <n v="58.75"/>
    <n v="-17.8"/>
    <x v="2"/>
  </r>
  <r>
    <s v="Kellogg's Chocos"/>
    <n v="250"/>
    <n v="700"/>
    <n v="46.8"/>
    <n v="38.43"/>
    <n v="-17.899999999999999"/>
    <x v="2"/>
  </r>
  <r>
    <s v="Britannia Toastea Premium Bake Rusk"/>
    <n v="182"/>
    <n v="300"/>
    <n v="19.23"/>
    <n v="15.67"/>
    <n v="-18.5"/>
    <x v="2"/>
  </r>
  <r>
    <s v="Nivea Soft Light Moisturizer for Face Hand &amp; Body Non-Sticky Cream with Vitamin E &amp; Jojoba Oil"/>
    <n v="200"/>
    <n v="300"/>
    <n v="131.5"/>
    <n v="106.33"/>
    <n v="-19.100000000000001"/>
    <x v="2"/>
  </r>
  <r>
    <s v="Mother's Recipe Pickle - Mango"/>
    <n v="400"/>
    <n v="500"/>
    <n v="28.25"/>
    <n v="21.8"/>
    <n v="-22.8"/>
    <x v="2"/>
  </r>
  <r>
    <s v="Amul Fresh Cream"/>
    <n v="250"/>
    <n v="1000"/>
    <n v="25.2"/>
    <n v="19.100000000000001"/>
    <n v="-24.2"/>
    <x v="2"/>
  </r>
  <r>
    <s v="Weikfield Baking Powder"/>
    <n v="50"/>
    <n v="100"/>
    <n v="44"/>
    <n v="32"/>
    <n v="-27.3"/>
    <x v="2"/>
  </r>
  <r>
    <s v="Beetroot"/>
    <n v="250"/>
    <n v="500"/>
    <n v="3.6"/>
    <n v="2.6"/>
    <n v="-27.8"/>
    <x v="2"/>
  </r>
  <r>
    <s v="Pillsbury Chakki Fresh Atta"/>
    <n v="1000"/>
    <n v="10000"/>
    <n v="5.2"/>
    <n v="3.75"/>
    <n v="-27.9"/>
    <x v="2"/>
  </r>
  <r>
    <s v="Surf Excel Quick Wash"/>
    <n v="1000"/>
    <n v="4000"/>
    <n v="19.5"/>
    <n v="13.73"/>
    <n v="-29.6"/>
    <x v="2"/>
  </r>
  <r>
    <s v="Om Bhakti Wick for Diya - Cotton Long Batti"/>
    <n v="50"/>
    <n v="75"/>
    <n v="38"/>
    <n v="26.67"/>
    <n v="-29.8"/>
    <x v="2"/>
  </r>
  <r>
    <s v="Amul Cheese Slices"/>
    <n v="100"/>
    <n v="750"/>
    <n v="70"/>
    <n v="47.87"/>
    <n v="-31.6"/>
    <x v="2"/>
  </r>
  <r>
    <s v="Carrot"/>
    <n v="250"/>
    <n v="500"/>
    <n v="4.4000000000000004"/>
    <n v="3"/>
    <n v="-31.8"/>
    <x v="2"/>
  </r>
  <r>
    <s v="Himalaya Baby Powder"/>
    <n v="100"/>
    <n v="400"/>
    <n v="73"/>
    <n v="47"/>
    <n v="-35.6"/>
    <x v="2"/>
  </r>
  <r>
    <s v="Britannia Milk Bikis Cream Biscuit"/>
    <n v="200"/>
    <n v="500"/>
    <n v="22.5"/>
    <n v="14"/>
    <n v="-37.799999999999997"/>
    <x v="2"/>
  </r>
  <r>
    <s v="Zorabian Chicken Breast Boneless"/>
    <n v="250"/>
    <n v="450"/>
    <n v="53.2"/>
    <n v="32.22"/>
    <n v="-39.4"/>
    <x v="2"/>
  </r>
  <r>
    <s v="Smith &amp; Jones Pasta Masala"/>
    <n v="54"/>
    <n v="108"/>
    <n v="85.19"/>
    <n v="50"/>
    <n v="-41.3"/>
    <x v="2"/>
  </r>
  <r>
    <s v="Suguna Nourish Egg"/>
    <n v="348"/>
    <n v="696"/>
    <n v="17.239999999999998"/>
    <n v="8.91"/>
    <n v="-48.3"/>
    <x v="2"/>
  </r>
  <r>
    <s v="Ching's Secret Green Chilli Sauce"/>
    <n v="425"/>
    <n v="680"/>
    <n v="24.71"/>
    <n v="11.91"/>
    <n v="-51.8"/>
    <x v="2"/>
  </r>
  <r>
    <s v="Sugarfree Gold Low Calorie Sweetner"/>
    <n v="100"/>
    <n v="110"/>
    <n v="118"/>
    <n v="55.45"/>
    <n v="-53"/>
    <x v="2"/>
  </r>
  <r>
    <s v="Aashirvaad Suji Halwa With Jaggery"/>
    <n v="70"/>
    <n v="80"/>
    <n v="107.14"/>
    <n v="47.5"/>
    <n v="-55.7"/>
    <x v="2"/>
  </r>
  <r>
    <s v="Lotte Choco Pie"/>
    <n v="336"/>
    <n v="696"/>
    <n v="38.99"/>
    <n v="17.239999999999998"/>
    <n v="-55.8"/>
    <x v="2"/>
  </r>
  <r>
    <s v="Savlon Moisture Shield Hand Wash"/>
    <n v="200"/>
    <n v="750"/>
    <n v="34.5"/>
    <n v="12.67"/>
    <n v="-63.3"/>
    <x v="2"/>
  </r>
  <r>
    <s v="Sugarfree Gold Low Calorie Sweetner"/>
    <n v="50"/>
    <n v="100"/>
    <n v="502"/>
    <n v="118"/>
    <n v="-76.5"/>
    <x v="2"/>
  </r>
  <r>
    <s v="Whisper Choice Regular Sanitary Pads"/>
    <n v="58"/>
    <n v="1160"/>
    <n v="150"/>
    <n v="7.76"/>
    <n v="-94.8"/>
    <x v="2"/>
  </r>
  <r>
    <s v="Johnson's Baby Skincare Wipes"/>
    <n v="72"/>
    <n v="1160"/>
    <n v="306.94"/>
    <n v="6.38"/>
    <n v="-97.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C2AFE-16F5-4B0B-BF78-75ECEBE621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01F5D667-907B-490C-AE32-354E8A310DC9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name" tableColumnId="2"/>
      <queryTableField id="3" name="categories" tableColumnId="3"/>
      <queryTableField id="4" name="mrp" tableColumnId="4"/>
      <queryTableField id="5" name="selling_price" tableColumnId="5"/>
      <queryTableField id="6" name="discount_percent" tableColumnId="6"/>
      <queryTableField id="7" name="listing_count" tableColumnId="7"/>
      <queryTableField id="8" name="category_count" tableColumnId="8"/>
      <queryTableField id="9" name="weight_gm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F716A239-B156-482C-9E03-DB7FF2371805}" autoFormatId="16" applyNumberFormats="0" applyBorderFormats="0" applyFontFormats="0" applyPatternFormats="0" applyAlignmentFormats="0" applyWidthHeightFormats="0">
  <queryTableRefresh nextId="6">
    <queryTableFields count="5">
      <queryTableField id="1" name="abc_class" tableColumnId="1"/>
      <queryTableField id="2" name="products" tableColumnId="2"/>
      <queryTableField id="3" name="pct_of_products" tableColumnId="3"/>
      <queryTableField id="4" name="stock_value" tableColumnId="4"/>
      <queryTableField id="5" name="pct_of_valu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457CF73B-1ADA-4FA4-AABB-66E4111C95AD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name" tableColumnId="2"/>
      <queryTableField id="3" name="selling_price" tableColumnId="3"/>
      <queryTableField id="4" name="available_quantity" tableColumnId="4"/>
      <queryTableField id="5" name="stock_value" tableColumnId="5"/>
      <queryTableField id="6" name="value_rank" tableColumnId="6"/>
      <queryTableField id="7" name="cumulative_pct" tableColumnId="7"/>
      <queryTableField id="8" name="abc_clas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7AE5941-F767-4484-B9C9-A491835061E1}" autoFormatId="16" applyNumberFormats="0" applyBorderFormats="0" applyFontFormats="0" applyPatternFormats="0" applyAlignmentFormats="0" applyWidthHeightFormats="0">
  <queryTableRefresh nextId="15" unboundColumnsRight="5">
    <queryTableFields count="14">
      <queryTableField id="1" name="product_id" tableColumnId="1"/>
      <queryTableField id="2" name="name" tableColumnId="2"/>
      <queryTableField id="3" name="categories" tableColumnId="3"/>
      <queryTableField id="4" name="mrp" tableColumnId="4"/>
      <queryTableField id="5" name="selling_price" tableColumnId="5"/>
      <queryTableField id="6" name="discount_percent" tableColumnId="6"/>
      <queryTableField id="7" name="listing_count" tableColumnId="7"/>
      <queryTableField id="8" name="category_count" tableColumnId="8"/>
      <queryTableField id="9" name="weight_gms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FA5FFFE8-6D91-496C-B0AA-5F79CD514BEA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from_weight_g" tableColumnId="2"/>
      <queryTableField id="3" name="to_weight_g" tableColumnId="3"/>
      <queryTableField id="4" name="prev_price_per_100g" tableColumnId="4"/>
      <queryTableField id="5" name="price_per_100g" tableColumnId="5"/>
      <queryTableField id="6" name="change_pct" tableColumnId="6"/>
      <queryTableField id="7" name="verdic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54051B1-95AB-454A-98C9-5985348261AC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mrp" tableColumnId="2"/>
      <queryTableField id="3" name="selling_price" tableColumnId="3"/>
      <queryTableField id="4" name="discount_percent" tableColumnId="4"/>
      <queryTableField id="5" name="rupees_saved" tableColumnId="5"/>
      <queryTableField id="6" name="pct_rank" tableColumnId="6"/>
      <queryTableField id="7" name="rupee_rank" tableColumnId="7"/>
      <queryTableField id="8" name="rank_jump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7E86ABF-961F-4DFA-8E73-53D89BAD9AD7}" autoFormatId="16" applyNumberFormats="0" applyBorderFormats="0" applyFontFormats="0" applyPatternFormats="0" applyAlignmentFormats="0" applyWidthHeightFormats="0">
  <queryTableRefresh nextId="6">
    <queryTableFields count="5">
      <queryTableField id="1" name="price_band" tableColumnId="1"/>
      <queryTableField id="2" name="products" tableColumnId="2"/>
      <queryTableField id="3" name="avg_discount_pct" tableColumnId="3"/>
      <queryTableField id="4" name="median_discount_pct" tableColumnId="4"/>
      <queryTableField id="5" name="pct_with_no_discount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DD234CD-D26E-4902-9B32-7EBB7BA7EAE1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discount_band" tableColumnId="2"/>
      <queryTableField id="3" name="listing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1D22D82-A5AE-418C-BCA4-ECF56F65868C}" autoFormatId="16" applyNumberFormats="0" applyBorderFormats="0" applyFontFormats="0" applyPatternFormats="0" applyAlignmentFormats="0" applyWidthHeightFormats="0">
  <queryTableRefresh nextId="4">
    <queryTableFields count="3">
      <queryTableField id="1" name="discount_band" tableColumnId="1"/>
      <queryTableField id="2" name="products" tableColumnId="2"/>
      <queryTableField id="3" name="pct_of_product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34BCC1C-DE92-41A1-8DB4-60E32F7C57BE}" autoFormatId="16" applyNumberFormats="0" applyBorderFormats="0" applyFontFormats="0" applyPatternFormats="0" applyAlignmentFormats="0" applyWidthHeightFormats="0">
  <queryTableRefresh nextId="9">
    <queryTableFields count="8">
      <queryTableField id="1" name="category" tableColumnId="1"/>
      <queryTableField id="2" name="listings" tableColumnId="2"/>
      <queryTableField id="3" name="oos_listings" tableColumnId="3"/>
      <queryTableField id="4" name="oos_pct" tableColumnId="4"/>
      <queryTableField id="5" name="pp_vs_overall" tableColumnId="5"/>
      <queryTableField id="6" name="worst_rank" tableColumnId="6"/>
      <queryTableField id="7" name="pct_cross_listed" tableColumnId="7"/>
      <queryTableField id="8" name="label_quality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879A08-A0C9-4598-8A43-5E8116DC7088}" autoFormatId="16" applyNumberFormats="0" applyBorderFormats="0" applyFontFormats="0" applyPatternFormats="0" applyAlignmentFormats="0" applyWidthHeightFormats="0">
  <queryTableRefresh nextId="7">
    <queryTableFields count="6">
      <queryTableField id="1" name="total_listings" tableColumnId="1"/>
      <queryTableField id="2" name="unique_products" tableColumnId="2"/>
      <queryTableField id="3" name="avg_listings_per_product" tableColumnId="3"/>
      <queryTableField id="4" name="products_in_multiple_categories" tableColumnId="4"/>
      <queryTableField id="5" name="pct_multi_category" tableColumnId="5"/>
      <queryTableField id="6" name="max_categories_one_produ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F17988-612C-464F-BC66-D15C0FC69E95}" name="tblQ10" displayName="tblQ10" ref="A1:I218" tableType="queryTable" totalsRowShown="0">
  <autoFilter ref="A1:I218" xr:uid="{56F17988-612C-464F-BC66-D15C0FC69E95}"/>
  <tableColumns count="9">
    <tableColumn id="1" xr3:uid="{AE723F19-9A23-4A07-878A-330188C01C7C}" uniqueName="1" name="product_id" queryTableFieldId="1"/>
    <tableColumn id="2" xr3:uid="{CA56F4B5-8329-40A9-B94D-A78607E84F68}" uniqueName="2" name="name" queryTableFieldId="2" dataDxfId="20"/>
    <tableColumn id="3" xr3:uid="{0EA8BC72-46CA-43F8-8673-FC5B8133585C}" uniqueName="3" name="categories" queryTableFieldId="3" dataDxfId="19"/>
    <tableColumn id="4" xr3:uid="{FB0050BA-7BB7-4F85-BFDC-3076B825F01C}" uniqueName="4" name="mrp" queryTableFieldId="4"/>
    <tableColumn id="5" xr3:uid="{410CBA1F-58D4-4AD6-A84A-91D808C875EE}" uniqueName="5" name="selling_price" queryTableFieldId="5"/>
    <tableColumn id="6" xr3:uid="{44A3860D-29FF-4E3E-B05E-D31A7C65875D}" uniqueName="6" name="discount_percent" queryTableFieldId="6"/>
    <tableColumn id="7" xr3:uid="{2C746DC4-4579-4120-AA05-B791A7B62024}" uniqueName="7" name="listing_count" queryTableFieldId="7"/>
    <tableColumn id="8" xr3:uid="{66E048CC-FCEF-4980-81B9-954B48D9D4DD}" uniqueName="8" name="category_count" queryTableFieldId="8"/>
    <tableColumn id="9" xr3:uid="{A9748FAB-C69A-4C03-813F-E7AE84E61027}" uniqueName="9" name="weight_gm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09D2B2-24D5-44A6-B0BB-7D5BA229C315}" name="tblQ09c" displayName="tblQ09c" ref="A1:E4" tableType="queryTable" totalsRowShown="0">
  <autoFilter ref="A1:E4" xr:uid="{E909D2B2-24D5-44A6-B0BB-7D5BA229C315}"/>
  <tableColumns count="5">
    <tableColumn id="1" xr3:uid="{48615DA0-426D-418B-AF53-A6A93D9D66DB}" uniqueName="1" name="abc_class" queryTableFieldId="1" dataDxfId="18"/>
    <tableColumn id="2" xr3:uid="{5ACD0DE5-1B85-41FD-A394-A909B0D3F73F}" uniqueName="2" name="products" queryTableFieldId="2"/>
    <tableColumn id="3" xr3:uid="{4EB06A15-D975-40FB-A2C2-B25A42C4CCFB}" uniqueName="3" name="pct_of_products" queryTableFieldId="3"/>
    <tableColumn id="4" xr3:uid="{47ED74B5-B36B-4BB9-88F1-255D12679359}" uniqueName="4" name="stock_value" queryTableFieldId="4"/>
    <tableColumn id="5" xr3:uid="{47E96859-ADF6-42ED-8280-FD2C9AD48AFD}" uniqueName="5" name="pct_of_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F9E5A-55AF-4AC6-802F-97B8956CFA7A}" name="tblQ09b" displayName="tblQ09b" ref="A1:H1584" tableType="queryTable" totalsRowShown="0">
  <autoFilter ref="A1:H1584" xr:uid="{3E1F9E5A-55AF-4AC6-802F-97B8956CFA7A}"/>
  <tableColumns count="8">
    <tableColumn id="1" xr3:uid="{97252762-4D7D-4E52-BAAD-EFEA05DAEC45}" uniqueName="1" name="product_id" queryTableFieldId="1"/>
    <tableColumn id="2" xr3:uid="{3064E901-16F9-4D12-BC04-D09986DD9E31}" uniqueName="2" name="name" queryTableFieldId="2" dataDxfId="17"/>
    <tableColumn id="3" xr3:uid="{78F9D7C8-A23A-4DC0-BEA0-583355719B10}" uniqueName="3" name="selling_price" queryTableFieldId="3"/>
    <tableColumn id="4" xr3:uid="{79CB2DBB-B49A-4373-A222-C40CF00DF838}" uniqueName="4" name="available_quantity" queryTableFieldId="4"/>
    <tableColumn id="5" xr3:uid="{F5861B8E-330E-4A4A-89BA-C57A200E0FB0}" uniqueName="5" name="stock_value" queryTableFieldId="5"/>
    <tableColumn id="6" xr3:uid="{1F6454BD-FC7B-4C2B-9A59-7AA3B630F282}" uniqueName="6" name="value_rank" queryTableFieldId="6"/>
    <tableColumn id="7" xr3:uid="{2B1BAEF3-BD5A-4409-A30A-4FB22AA7869A}" uniqueName="7" name="cumulative_pct" queryTableFieldId="7"/>
    <tableColumn id="8" xr3:uid="{5A8D6FA0-FAC3-46DE-A2A4-F8B3366D759E}" uniqueName="8" name="abc_class" queryTableFieldId="8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903C4A-736F-4903-BB25-509651571CC1}" name="tblRestock" displayName="tblRestock" ref="A9:N226" tableType="queryTable" totalsRowShown="0">
  <autoFilter ref="A9:N226" xr:uid="{A7903C4A-736F-4903-BB25-509651571CC1}"/>
  <tableColumns count="14">
    <tableColumn id="1" xr3:uid="{D911D909-4B2E-4FB9-8AE3-9FC1E8E8ECF4}" uniqueName="1" name="product_id" queryTableFieldId="1"/>
    <tableColumn id="2" xr3:uid="{6302919C-3084-46E1-9AF9-3325235C6D37}" uniqueName="2" name="name" queryTableFieldId="2" dataDxfId="15"/>
    <tableColumn id="3" xr3:uid="{C3B362DC-2248-4A0E-9816-71E1EF99F97C}" uniqueName="3" name="categories" queryTableFieldId="3" dataDxfId="14"/>
    <tableColumn id="4" xr3:uid="{849E22BA-E17A-4C5B-A559-F0A19E3CDF48}" uniqueName="4" name="mrp" queryTableFieldId="4"/>
    <tableColumn id="5" xr3:uid="{661E4A72-A821-4E58-BF51-5C5B87E4AE35}" uniqueName="5" name="selling_price" queryTableFieldId="5"/>
    <tableColumn id="6" xr3:uid="{96BC2D6E-32B5-4D81-9642-0BF572DA70B6}" uniqueName="6" name="discount_percent" queryTableFieldId="6"/>
    <tableColumn id="7" xr3:uid="{3700304A-2BA6-4585-8968-3105282CB442}" uniqueName="7" name="listing_count" queryTableFieldId="7"/>
    <tableColumn id="8" xr3:uid="{2EFC75AA-59B5-4A91-9A59-CDA39463636D}" uniqueName="8" name="category_count" queryTableFieldId="8"/>
    <tableColumn id="9" xr3:uid="{6E413959-CAEB-448D-BBF5-68A01C5F8F5C}" uniqueName="9" name="weight_gms" queryTableFieldId="9"/>
    <tableColumn id="10" xr3:uid="{690A638B-7A09-4E35-8086-2122691151E9}" uniqueName="10" name="Disc_N" queryTableFieldId="10" dataDxfId="13">
      <calculatedColumnFormula>(tblRestock[[#This Row],[discount_percent]]-MIN(tblRestock[discount_percent]))/(MAX(tblRestock[discount_percent])-MIN(tblRestock[discount_percent]))</calculatedColumnFormula>
    </tableColumn>
    <tableColumn id="11" xr3:uid="{1B49AD5D-DF8F-4D9B-B819-981673226972}" uniqueName="11" name="Price_N" queryTableFieldId="11" dataDxfId="12">
      <calculatedColumnFormula>(tblRestock[[#This Row],[selling_price]]-MIN(tblRestock[selling_price]))/(MAX(tblRestock[selling_price])-MIN(tblRestock[selling_price]))</calculatedColumnFormula>
    </tableColumn>
    <tableColumn id="12" xr3:uid="{6AD57224-0C91-4DD6-A47B-18B8804481E7}" uniqueName="12" name="Vis_N" queryTableFieldId="12" dataDxfId="11">
      <calculatedColumnFormula>(tblRestock[[#This Row],[listing_count]]-MIN(tblRestock[listing_count]))/(MAX(tblRestock[listing_count])-MIN(tblRestock[listing_count]))</calculatedColumnFormula>
    </tableColumn>
    <tableColumn id="13" xr3:uid="{FCF2C7A7-F582-4DDB-AC73-DEA9D34BB965}" uniqueName="13" name="Score" queryTableFieldId="13" dataDxfId="10">
      <calculatedColumnFormula>$B$3*tblRestock[[#This Row],[Disc_N]]+$B$4*tblRestock[[#This Row],[Price_N]]+$B$5*tblRestock[[#This Row],[Vis_N]]</calculatedColumnFormula>
    </tableColumn>
    <tableColumn id="14" xr3:uid="{9F98C29F-27B1-41D8-AA86-F9DAF43F8FB1}" uniqueName="14" name="Rank" queryTableFieldId="14" dataDxfId="9">
      <calculatedColumnFormula>_xlfn.RANK.EQ(M10,$M$10:$M$226,0)+COUNTIFS($M$10:$M$226,M10,$A$10:$A$226,"&lt;"&amp;A10)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F99E83-5AB1-4EED-8DF7-0AEEE077681F}" name="tblQ08" displayName="tblQ08" ref="A1:G102" tableType="queryTable" totalsRowShown="0">
  <autoFilter ref="A1:G102" xr:uid="{73F99E83-5AB1-4EED-8DF7-0AEEE077681F}"/>
  <tableColumns count="7">
    <tableColumn id="1" xr3:uid="{5401B4C3-1865-410F-82FA-C95C58C165C8}" uniqueName="1" name="name" queryTableFieldId="1" dataDxfId="8"/>
    <tableColumn id="2" xr3:uid="{CF2485FA-0526-46B9-B51E-8A20DFDEAB9B}" uniqueName="2" name="from_weight_g" queryTableFieldId="2"/>
    <tableColumn id="3" xr3:uid="{698BBC20-D05B-450D-8228-A4819B8D001D}" uniqueName="3" name="to_weight_g" queryTableFieldId="3"/>
    <tableColumn id="4" xr3:uid="{408A5505-F360-4A32-9489-96254035C5FD}" uniqueName="4" name="prev_price_per_100g" queryTableFieldId="4"/>
    <tableColumn id="5" xr3:uid="{0C53C598-EF36-493A-ACD3-DA24E40653B2}" uniqueName="5" name="price_per_100g" queryTableFieldId="5"/>
    <tableColumn id="6" xr3:uid="{3782E24C-0ACB-4724-9B3E-16B205F9B37F}" uniqueName="6" name="change_pct" queryTableFieldId="6"/>
    <tableColumn id="7" xr3:uid="{35F807CC-92F3-48FA-9F29-6E70E4108A8C}" uniqueName="7" name="verdict" queryTableFieldId="7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15F6B5-35DF-48FB-B729-084447886366}" name="tblQ06" displayName="tblQ06" ref="A1:H26" tableType="queryTable" totalsRowShown="0">
  <autoFilter ref="A1:H26" xr:uid="{0815F6B5-35DF-48FB-B729-084447886366}"/>
  <tableColumns count="8">
    <tableColumn id="1" xr3:uid="{77E3836E-F3C2-46FD-BB79-7C627DC51633}" uniqueName="1" name="name" queryTableFieldId="1" dataDxfId="6"/>
    <tableColumn id="2" xr3:uid="{7EED0F40-4F15-466E-9C1C-70C056CB2A44}" uniqueName="2" name="mrp" queryTableFieldId="2"/>
    <tableColumn id="3" xr3:uid="{735113BB-8607-495C-BFAA-1626D5BCC21D}" uniqueName="3" name="selling_price" queryTableFieldId="3"/>
    <tableColumn id="4" xr3:uid="{0BD2A8DD-65C3-475A-AD74-983082382317}" uniqueName="4" name="discount_percent" queryTableFieldId="4"/>
    <tableColumn id="5" xr3:uid="{701AD532-6100-4141-95FC-CEC89AA6E359}" uniqueName="5" name="rupees_saved" queryTableFieldId="5"/>
    <tableColumn id="6" xr3:uid="{884C7DB1-E892-4695-8C63-4F8D1E92CA53}" uniqueName="6" name="pct_rank" queryTableFieldId="6"/>
    <tableColumn id="7" xr3:uid="{686C9060-3026-4C00-832D-3DAD6634DF2D}" uniqueName="7" name="rupee_rank" queryTableFieldId="7"/>
    <tableColumn id="8" xr3:uid="{82FBF6EF-3010-4E20-BCBD-BB9AD4AEA043}" uniqueName="8" name="rank_jump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F79869-41C0-4E5F-843D-4C6A2DC1DEC7}" name="tblQ05a" displayName="tblQ05a" ref="A1:E6" tableType="queryTable" totalsRowShown="0">
  <autoFilter ref="A1:E6" xr:uid="{E4F79869-41C0-4E5F-843D-4C6A2DC1DEC7}"/>
  <tableColumns count="5">
    <tableColumn id="1" xr3:uid="{004B2D3B-1C54-4B11-AE70-C3E4FF69E921}" uniqueName="1" name="price_band" queryTableFieldId="1" dataDxfId="5"/>
    <tableColumn id="2" xr3:uid="{F214013A-23A4-473E-A58D-F5F6CAE0629E}" uniqueName="2" name="products" queryTableFieldId="2"/>
    <tableColumn id="3" xr3:uid="{DCD37571-5F95-4F49-B407-A4973934C71C}" uniqueName="3" name="avg_discount_pct" queryTableFieldId="3"/>
    <tableColumn id="4" xr3:uid="{A4FACF8C-3022-4D1B-8DEC-01B811F00039}" uniqueName="4" name="median_discount_pct" queryTableFieldId="4"/>
    <tableColumn id="5" xr3:uid="{0D0F641B-8832-4C00-A6B0-CE292183F6E4}" uniqueName="5" name="pct_with_no_discount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4ADFB4-EF25-4B34-8170-DA16D513EC0D}" name="tblQ04b" displayName="tblQ04b" ref="A1:C67" tableType="queryTable" totalsRowShown="0">
  <autoFilter ref="A1:C67" xr:uid="{614ADFB4-EF25-4B34-8170-DA16D513EC0D}"/>
  <tableColumns count="3">
    <tableColumn id="1" xr3:uid="{C7C3EB52-FCCF-497F-B2CA-E663E65F6908}" uniqueName="1" name="category" queryTableFieldId="1" dataDxfId="4"/>
    <tableColumn id="2" xr3:uid="{912EF752-79B6-46D4-B687-7DC7EFE75F2D}" uniqueName="2" name="discount_band" queryTableFieldId="2" dataDxfId="3"/>
    <tableColumn id="3" xr3:uid="{A958A94B-4BC8-42FE-95E6-72449FD840D7}" uniqueName="3" name="listings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53503-C662-44CF-877E-61CA19F762EC}" name="tblQ04a" displayName="tblQ04a" ref="A1:C6" tableType="queryTable" totalsRowShown="0">
  <autoFilter ref="A1:C6" xr:uid="{56F53503-C662-44CF-877E-61CA19F762EC}"/>
  <tableColumns count="3">
    <tableColumn id="1" xr3:uid="{CE4CFBA5-9ABB-46B7-ACD9-191B3A487E8B}" uniqueName="1" name="discount_band" queryTableFieldId="1" dataDxfId="2"/>
    <tableColumn id="2" xr3:uid="{A0277219-8D03-4972-A887-F9714DD0EC80}" uniqueName="2" name="products" queryTableFieldId="2"/>
    <tableColumn id="3" xr3:uid="{E2412ABA-A7B2-452B-857D-6AA5D30197B2}" uniqueName="3" name="pct_of_products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C5410B-4923-4482-B82A-E8C458EEA4BB}" name="tblQ02" displayName="tblQ02" ref="A1:H15" tableType="queryTable" totalsRowShown="0">
  <autoFilter ref="A1:H15" xr:uid="{A2C5410B-4923-4482-B82A-E8C458EEA4BB}"/>
  <tableColumns count="8">
    <tableColumn id="1" xr3:uid="{E8D27561-1C21-4161-9066-E28077E6D34E}" uniqueName="1" name="category" queryTableFieldId="1" dataDxfId="1"/>
    <tableColumn id="2" xr3:uid="{EC86323C-BEC9-45D4-BB89-BDD5D580080D}" uniqueName="2" name="listings" queryTableFieldId="2"/>
    <tableColumn id="3" xr3:uid="{F5655C45-7E44-4112-86D5-FCC7FCA3E698}" uniqueName="3" name="oos_listings" queryTableFieldId="3"/>
    <tableColumn id="4" xr3:uid="{97EDC7B9-2A30-4080-BCC1-776CAE330837}" uniqueName="4" name="oos_pct" queryTableFieldId="4"/>
    <tableColumn id="5" xr3:uid="{05AD8B03-8E25-4890-B245-D415E04F243D}" uniqueName="5" name="pp_vs_overall" queryTableFieldId="5"/>
    <tableColumn id="6" xr3:uid="{E09A4BEA-1666-411F-B53F-DCBD4B5AE8A0}" uniqueName="6" name="worst_rank" queryTableFieldId="6"/>
    <tableColumn id="7" xr3:uid="{6D82A145-BD5E-41ED-A66E-60A09ACA5DF2}" uniqueName="7" name="pct_cross_listed" queryTableFieldId="7"/>
    <tableColumn id="8" xr3:uid="{E5A3B80B-2B28-4C39-92ED-90D87A782ED0}" uniqueName="8" name="label_quality" queryTableFieldId="8" dataDxfId="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38529-CCFD-4962-BFE0-2EB38B5F69E9}" name="tblQ01a" displayName="tblQ01a" ref="A1:F2" tableType="queryTable" totalsRowShown="0">
  <autoFilter ref="A1:F2" xr:uid="{4AF38529-CCFD-4962-BFE0-2EB38B5F69E9}"/>
  <tableColumns count="6">
    <tableColumn id="1" xr3:uid="{EFBE891C-783B-4694-B24D-AFF0FDBA07D4}" uniqueName="1" name="total_listings" queryTableFieldId="1"/>
    <tableColumn id="2" xr3:uid="{B65C9BF2-6D7C-43F3-9164-79CEB9D2C320}" uniqueName="2" name="unique_products" queryTableFieldId="2"/>
    <tableColumn id="3" xr3:uid="{28550418-8D91-47B6-ADA3-BF2C95DC2B14}" uniqueName="3" name="avg_listings_per_product" queryTableFieldId="3"/>
    <tableColumn id="4" xr3:uid="{A86B96E0-2C99-4A91-AE88-8587383D5B20}" uniqueName="4" name="products_in_multiple_categories" queryTableFieldId="4"/>
    <tableColumn id="5" xr3:uid="{29CACF6E-019B-4C3A-9A27-20ABB0C8F6E8}" uniqueName="5" name="pct_multi_category" queryTableFieldId="5"/>
    <tableColumn id="6" xr3:uid="{83F3884D-D852-434D-8EE3-021458F45812}" uniqueName="6" name="max_categories_one_produc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2F1C-7E60-46C4-A5BF-903422745A11}">
  <dimension ref="A1:I218"/>
  <sheetViews>
    <sheetView workbookViewId="0">
      <selection sqref="A1:I218"/>
    </sheetView>
  </sheetViews>
  <sheetFormatPr defaultRowHeight="14.25"/>
  <cols>
    <col min="1" max="1" width="11.3984375" bestFit="1" customWidth="1"/>
    <col min="2" max="2" width="54.53125" bestFit="1" customWidth="1"/>
    <col min="3" max="3" width="80.53125" bestFit="1" customWidth="1"/>
    <col min="4" max="4" width="6.1328125" bestFit="1" customWidth="1"/>
    <col min="5" max="5" width="13.06640625" bestFit="1" customWidth="1"/>
    <col min="6" max="6" width="16.86328125" bestFit="1" customWidth="1"/>
    <col min="7" max="7" width="13.06640625" bestFit="1" customWidth="1"/>
    <col min="8" max="8" width="15.19921875" bestFit="1" customWidth="1"/>
    <col min="9" max="9" width="12.265625" bestFit="1" customWidth="1"/>
  </cols>
  <sheetData>
    <row r="1" spans="1:9">
      <c r="A1" t="s">
        <v>178</v>
      </c>
      <c r="B1" t="s">
        <v>48</v>
      </c>
      <c r="C1" t="s">
        <v>1564</v>
      </c>
      <c r="D1" t="s">
        <v>49</v>
      </c>
      <c r="E1" t="s">
        <v>50</v>
      </c>
      <c r="F1" t="s">
        <v>51</v>
      </c>
      <c r="G1" t="s">
        <v>1565</v>
      </c>
      <c r="H1" t="s">
        <v>1566</v>
      </c>
      <c r="I1" t="s">
        <v>1567</v>
      </c>
    </row>
    <row r="2" spans="1:9">
      <c r="A2">
        <v>1250</v>
      </c>
      <c r="B2" t="s">
        <v>1568</v>
      </c>
      <c r="C2" t="s">
        <v>1569</v>
      </c>
      <c r="D2">
        <v>295</v>
      </c>
      <c r="E2">
        <v>147</v>
      </c>
      <c r="F2">
        <v>50</v>
      </c>
      <c r="G2">
        <v>2</v>
      </c>
      <c r="H2">
        <v>2</v>
      </c>
      <c r="I2">
        <v>200</v>
      </c>
    </row>
    <row r="3" spans="1:9">
      <c r="A3">
        <v>594</v>
      </c>
      <c r="B3" t="s">
        <v>1570</v>
      </c>
      <c r="C3" t="s">
        <v>1571</v>
      </c>
      <c r="D3">
        <v>160</v>
      </c>
      <c r="E3">
        <v>80</v>
      </c>
      <c r="F3">
        <v>50</v>
      </c>
      <c r="G3">
        <v>5</v>
      </c>
      <c r="H3">
        <v>5</v>
      </c>
      <c r="I3">
        <v>500</v>
      </c>
    </row>
    <row r="4" spans="1:9">
      <c r="A4">
        <v>2722</v>
      </c>
      <c r="B4" t="s">
        <v>1572</v>
      </c>
      <c r="C4" t="s">
        <v>14</v>
      </c>
      <c r="D4">
        <v>150</v>
      </c>
      <c r="E4">
        <v>75</v>
      </c>
      <c r="F4">
        <v>50</v>
      </c>
      <c r="G4">
        <v>1</v>
      </c>
      <c r="H4">
        <v>1</v>
      </c>
      <c r="I4">
        <v>250</v>
      </c>
    </row>
    <row r="5" spans="1:9">
      <c r="A5">
        <v>3720</v>
      </c>
      <c r="B5" t="s">
        <v>1573</v>
      </c>
      <c r="C5" t="s">
        <v>21</v>
      </c>
      <c r="D5">
        <v>40</v>
      </c>
      <c r="E5">
        <v>20</v>
      </c>
      <c r="F5">
        <v>50</v>
      </c>
      <c r="G5">
        <v>1</v>
      </c>
      <c r="H5">
        <v>1</v>
      </c>
      <c r="I5">
        <v>75</v>
      </c>
    </row>
    <row r="6" spans="1:9">
      <c r="A6">
        <v>600</v>
      </c>
      <c r="B6" t="s">
        <v>1574</v>
      </c>
      <c r="C6" t="s">
        <v>1575</v>
      </c>
      <c r="D6">
        <v>99</v>
      </c>
      <c r="E6">
        <v>59</v>
      </c>
      <c r="F6">
        <v>40</v>
      </c>
      <c r="G6">
        <v>2</v>
      </c>
      <c r="H6">
        <v>2</v>
      </c>
      <c r="I6">
        <v>500</v>
      </c>
    </row>
    <row r="7" spans="1:9">
      <c r="A7">
        <v>2745</v>
      </c>
      <c r="B7" t="s">
        <v>90</v>
      </c>
      <c r="C7" t="s">
        <v>14</v>
      </c>
      <c r="D7">
        <v>230</v>
      </c>
      <c r="E7">
        <v>172</v>
      </c>
      <c r="F7">
        <v>25</v>
      </c>
      <c r="G7">
        <v>1</v>
      </c>
      <c r="H7">
        <v>1</v>
      </c>
      <c r="I7">
        <v>1000</v>
      </c>
    </row>
    <row r="8" spans="1:9">
      <c r="A8">
        <v>1729</v>
      </c>
      <c r="B8" t="s">
        <v>1576</v>
      </c>
      <c r="C8" t="s">
        <v>1577</v>
      </c>
      <c r="D8">
        <v>50</v>
      </c>
      <c r="E8">
        <v>38</v>
      </c>
      <c r="F8">
        <v>24</v>
      </c>
      <c r="G8">
        <v>3</v>
      </c>
      <c r="H8">
        <v>3</v>
      </c>
      <c r="I8">
        <v>200</v>
      </c>
    </row>
    <row r="9" spans="1:9">
      <c r="A9">
        <v>2749</v>
      </c>
      <c r="B9" t="s">
        <v>1578</v>
      </c>
      <c r="C9" t="s">
        <v>14</v>
      </c>
      <c r="D9">
        <v>105</v>
      </c>
      <c r="E9">
        <v>81</v>
      </c>
      <c r="F9">
        <v>22</v>
      </c>
      <c r="G9">
        <v>1</v>
      </c>
      <c r="H9">
        <v>1</v>
      </c>
      <c r="I9">
        <v>75</v>
      </c>
    </row>
    <row r="10" spans="1:9">
      <c r="A10">
        <v>1241</v>
      </c>
      <c r="B10" t="s">
        <v>1579</v>
      </c>
      <c r="C10" t="s">
        <v>1580</v>
      </c>
      <c r="D10">
        <v>185</v>
      </c>
      <c r="E10">
        <v>148</v>
      </c>
      <c r="F10">
        <v>20</v>
      </c>
      <c r="G10">
        <v>5</v>
      </c>
      <c r="H10">
        <v>5</v>
      </c>
      <c r="I10">
        <v>325</v>
      </c>
    </row>
    <row r="11" spans="1:9">
      <c r="A11">
        <v>89</v>
      </c>
      <c r="B11" t="s">
        <v>162</v>
      </c>
      <c r="C11" t="s">
        <v>28</v>
      </c>
      <c r="D11">
        <v>11</v>
      </c>
      <c r="E11">
        <v>9</v>
      </c>
      <c r="F11">
        <v>18</v>
      </c>
      <c r="G11">
        <v>1</v>
      </c>
      <c r="H11">
        <v>1</v>
      </c>
      <c r="I11">
        <v>250</v>
      </c>
    </row>
    <row r="12" spans="1:9">
      <c r="A12">
        <v>1246</v>
      </c>
      <c r="B12" t="s">
        <v>1581</v>
      </c>
      <c r="C12" t="s">
        <v>1582</v>
      </c>
      <c r="D12">
        <v>75</v>
      </c>
      <c r="E12">
        <v>62</v>
      </c>
      <c r="F12">
        <v>17</v>
      </c>
      <c r="G12">
        <v>3</v>
      </c>
      <c r="H12">
        <v>3</v>
      </c>
      <c r="I12">
        <v>348</v>
      </c>
    </row>
    <row r="13" spans="1:9">
      <c r="A13">
        <v>2751</v>
      </c>
      <c r="B13" t="s">
        <v>1583</v>
      </c>
      <c r="C13" t="s">
        <v>14</v>
      </c>
      <c r="D13">
        <v>35</v>
      </c>
      <c r="E13">
        <v>29</v>
      </c>
      <c r="F13">
        <v>17</v>
      </c>
      <c r="G13">
        <v>1</v>
      </c>
      <c r="H13">
        <v>1</v>
      </c>
      <c r="I13">
        <v>150</v>
      </c>
    </row>
    <row r="14" spans="1:9">
      <c r="A14">
        <v>90</v>
      </c>
      <c r="B14" t="s">
        <v>1584</v>
      </c>
      <c r="C14" t="s">
        <v>28</v>
      </c>
      <c r="D14">
        <v>35</v>
      </c>
      <c r="E14">
        <v>29</v>
      </c>
      <c r="F14">
        <v>17</v>
      </c>
      <c r="G14">
        <v>1</v>
      </c>
      <c r="H14">
        <v>1</v>
      </c>
      <c r="I14">
        <v>200</v>
      </c>
    </row>
    <row r="15" spans="1:9">
      <c r="A15">
        <v>599</v>
      </c>
      <c r="B15" t="s">
        <v>1585</v>
      </c>
      <c r="C15" t="s">
        <v>1571</v>
      </c>
      <c r="D15">
        <v>28</v>
      </c>
      <c r="E15">
        <v>23</v>
      </c>
      <c r="F15">
        <v>17</v>
      </c>
      <c r="G15">
        <v>5</v>
      </c>
      <c r="H15">
        <v>5</v>
      </c>
      <c r="I15">
        <v>65</v>
      </c>
    </row>
    <row r="16" spans="1:9">
      <c r="A16">
        <v>3083</v>
      </c>
      <c r="B16" t="s">
        <v>87</v>
      </c>
      <c r="C16" t="s">
        <v>1586</v>
      </c>
      <c r="D16">
        <v>100</v>
      </c>
      <c r="E16">
        <v>84</v>
      </c>
      <c r="F16">
        <v>16</v>
      </c>
      <c r="G16">
        <v>2</v>
      </c>
      <c r="H16">
        <v>2</v>
      </c>
      <c r="I16">
        <v>500</v>
      </c>
    </row>
    <row r="17" spans="1:9">
      <c r="A17">
        <v>1249</v>
      </c>
      <c r="B17" t="s">
        <v>172</v>
      </c>
      <c r="C17" t="s">
        <v>1582</v>
      </c>
      <c r="D17">
        <v>72</v>
      </c>
      <c r="E17">
        <v>60</v>
      </c>
      <c r="F17">
        <v>16</v>
      </c>
      <c r="G17">
        <v>3</v>
      </c>
      <c r="H17">
        <v>3</v>
      </c>
      <c r="I17">
        <v>348</v>
      </c>
    </row>
    <row r="18" spans="1:9">
      <c r="A18">
        <v>3729</v>
      </c>
      <c r="B18" t="s">
        <v>1587</v>
      </c>
      <c r="C18" t="s">
        <v>21</v>
      </c>
      <c r="D18">
        <v>105</v>
      </c>
      <c r="E18">
        <v>89</v>
      </c>
      <c r="F18">
        <v>15</v>
      </c>
      <c r="G18">
        <v>1</v>
      </c>
      <c r="H18">
        <v>1</v>
      </c>
      <c r="I18">
        <v>100</v>
      </c>
    </row>
    <row r="19" spans="1:9">
      <c r="A19">
        <v>3633</v>
      </c>
      <c r="B19" t="s">
        <v>1588</v>
      </c>
      <c r="C19" t="s">
        <v>27</v>
      </c>
      <c r="D19">
        <v>80</v>
      </c>
      <c r="E19">
        <v>68</v>
      </c>
      <c r="F19">
        <v>15</v>
      </c>
      <c r="G19">
        <v>1</v>
      </c>
      <c r="H19">
        <v>1</v>
      </c>
      <c r="I19">
        <v>58</v>
      </c>
    </row>
    <row r="20" spans="1:9">
      <c r="A20">
        <v>601</v>
      </c>
      <c r="B20" t="s">
        <v>1589</v>
      </c>
      <c r="C20" t="s">
        <v>1575</v>
      </c>
      <c r="D20">
        <v>60</v>
      </c>
      <c r="E20">
        <v>51</v>
      </c>
      <c r="F20">
        <v>15</v>
      </c>
      <c r="G20">
        <v>2</v>
      </c>
      <c r="H20">
        <v>2</v>
      </c>
      <c r="I20">
        <v>100</v>
      </c>
    </row>
    <row r="21" spans="1:9">
      <c r="A21">
        <v>88</v>
      </c>
      <c r="B21" t="s">
        <v>167</v>
      </c>
      <c r="C21" t="s">
        <v>28</v>
      </c>
      <c r="D21">
        <v>13</v>
      </c>
      <c r="E21">
        <v>11</v>
      </c>
      <c r="F21">
        <v>15</v>
      </c>
      <c r="G21">
        <v>1</v>
      </c>
      <c r="H21">
        <v>1</v>
      </c>
      <c r="I21">
        <v>250</v>
      </c>
    </row>
    <row r="22" spans="1:9">
      <c r="A22">
        <v>553</v>
      </c>
      <c r="B22" t="s">
        <v>1590</v>
      </c>
      <c r="C22" t="s">
        <v>1575</v>
      </c>
      <c r="D22">
        <v>150</v>
      </c>
      <c r="E22">
        <v>128</v>
      </c>
      <c r="F22">
        <v>14</v>
      </c>
      <c r="G22">
        <v>2</v>
      </c>
      <c r="H22">
        <v>2</v>
      </c>
      <c r="I22">
        <v>100</v>
      </c>
    </row>
    <row r="23" spans="1:9">
      <c r="A23">
        <v>549</v>
      </c>
      <c r="B23" t="s">
        <v>97</v>
      </c>
      <c r="C23" t="s">
        <v>1575</v>
      </c>
      <c r="D23">
        <v>210</v>
      </c>
      <c r="E23">
        <v>181</v>
      </c>
      <c r="F23">
        <v>13</v>
      </c>
      <c r="G23">
        <v>2</v>
      </c>
      <c r="H23">
        <v>2</v>
      </c>
      <c r="I23">
        <v>1000</v>
      </c>
    </row>
    <row r="24" spans="1:9">
      <c r="A24">
        <v>551</v>
      </c>
      <c r="B24" t="s">
        <v>1591</v>
      </c>
      <c r="C24" t="s">
        <v>1575</v>
      </c>
      <c r="D24">
        <v>22</v>
      </c>
      <c r="E24">
        <v>19</v>
      </c>
      <c r="F24">
        <v>13</v>
      </c>
      <c r="G24">
        <v>2</v>
      </c>
      <c r="H24">
        <v>2</v>
      </c>
      <c r="I24">
        <v>1000</v>
      </c>
    </row>
    <row r="25" spans="1:9">
      <c r="A25">
        <v>2731</v>
      </c>
      <c r="B25" t="s">
        <v>1592</v>
      </c>
      <c r="C25" t="s">
        <v>14</v>
      </c>
      <c r="D25">
        <v>25</v>
      </c>
      <c r="E25">
        <v>22</v>
      </c>
      <c r="F25">
        <v>12</v>
      </c>
      <c r="G25">
        <v>1</v>
      </c>
      <c r="H25">
        <v>1</v>
      </c>
      <c r="I25">
        <v>150</v>
      </c>
    </row>
    <row r="26" spans="1:9">
      <c r="A26">
        <v>593</v>
      </c>
      <c r="B26" t="s">
        <v>1593</v>
      </c>
      <c r="C26" t="s">
        <v>1575</v>
      </c>
      <c r="D26">
        <v>109</v>
      </c>
      <c r="E26">
        <v>97</v>
      </c>
      <c r="F26">
        <v>11</v>
      </c>
      <c r="G26">
        <v>2</v>
      </c>
      <c r="H26">
        <v>2</v>
      </c>
      <c r="I26">
        <v>80</v>
      </c>
    </row>
    <row r="27" spans="1:9">
      <c r="A27">
        <v>1247</v>
      </c>
      <c r="B27" t="s">
        <v>1594</v>
      </c>
      <c r="C27" t="s">
        <v>1569</v>
      </c>
      <c r="D27">
        <v>99</v>
      </c>
      <c r="E27">
        <v>88</v>
      </c>
      <c r="F27">
        <v>11</v>
      </c>
      <c r="G27">
        <v>2</v>
      </c>
      <c r="H27">
        <v>2</v>
      </c>
      <c r="I27">
        <v>162</v>
      </c>
    </row>
    <row r="28" spans="1:9">
      <c r="A28">
        <v>3723</v>
      </c>
      <c r="B28" t="s">
        <v>1595</v>
      </c>
      <c r="C28" t="s">
        <v>21</v>
      </c>
      <c r="D28">
        <v>54</v>
      </c>
      <c r="E28">
        <v>48</v>
      </c>
      <c r="F28">
        <v>11</v>
      </c>
      <c r="G28">
        <v>1</v>
      </c>
      <c r="H28">
        <v>1</v>
      </c>
      <c r="I28">
        <v>5</v>
      </c>
    </row>
    <row r="29" spans="1:9">
      <c r="A29">
        <v>574</v>
      </c>
      <c r="B29" t="s">
        <v>1596</v>
      </c>
      <c r="C29" t="s">
        <v>1575</v>
      </c>
      <c r="D29">
        <v>310</v>
      </c>
      <c r="E29">
        <v>279</v>
      </c>
      <c r="F29">
        <v>10</v>
      </c>
      <c r="G29">
        <v>2</v>
      </c>
      <c r="H29">
        <v>2</v>
      </c>
      <c r="I29">
        <v>500</v>
      </c>
    </row>
    <row r="30" spans="1:9">
      <c r="A30">
        <v>1745</v>
      </c>
      <c r="B30" t="s">
        <v>1597</v>
      </c>
      <c r="C30" t="s">
        <v>1577</v>
      </c>
      <c r="D30">
        <v>265</v>
      </c>
      <c r="E30">
        <v>236</v>
      </c>
      <c r="F30">
        <v>10</v>
      </c>
      <c r="G30">
        <v>3</v>
      </c>
      <c r="H30">
        <v>3</v>
      </c>
      <c r="I30">
        <v>575</v>
      </c>
    </row>
    <row r="31" spans="1:9">
      <c r="A31">
        <v>3634</v>
      </c>
      <c r="B31" t="s">
        <v>1598</v>
      </c>
      <c r="C31" t="s">
        <v>27</v>
      </c>
      <c r="D31">
        <v>250</v>
      </c>
      <c r="E31">
        <v>225</v>
      </c>
      <c r="F31">
        <v>10</v>
      </c>
      <c r="G31">
        <v>1</v>
      </c>
      <c r="H31">
        <v>1</v>
      </c>
      <c r="I31">
        <v>100</v>
      </c>
    </row>
    <row r="32" spans="1:9">
      <c r="A32">
        <v>3082</v>
      </c>
      <c r="B32" t="s">
        <v>143</v>
      </c>
      <c r="C32" t="s">
        <v>1586</v>
      </c>
      <c r="D32">
        <v>90</v>
      </c>
      <c r="E32">
        <v>81</v>
      </c>
      <c r="F32">
        <v>10</v>
      </c>
      <c r="G32">
        <v>2</v>
      </c>
      <c r="H32">
        <v>2</v>
      </c>
      <c r="I32">
        <v>150</v>
      </c>
    </row>
    <row r="33" spans="1:9">
      <c r="A33">
        <v>586</v>
      </c>
      <c r="B33" t="s">
        <v>112</v>
      </c>
      <c r="C33" t="s">
        <v>1575</v>
      </c>
      <c r="D33">
        <v>70</v>
      </c>
      <c r="E33">
        <v>63</v>
      </c>
      <c r="F33">
        <v>10</v>
      </c>
      <c r="G33">
        <v>2</v>
      </c>
      <c r="H33">
        <v>2</v>
      </c>
      <c r="I33">
        <v>200</v>
      </c>
    </row>
    <row r="34" spans="1:9">
      <c r="A34">
        <v>3629</v>
      </c>
      <c r="B34" t="s">
        <v>1599</v>
      </c>
      <c r="C34" t="s">
        <v>27</v>
      </c>
      <c r="D34">
        <v>69</v>
      </c>
      <c r="E34">
        <v>62</v>
      </c>
      <c r="F34">
        <v>10</v>
      </c>
      <c r="G34">
        <v>1</v>
      </c>
      <c r="H34">
        <v>1</v>
      </c>
      <c r="I34">
        <v>500</v>
      </c>
    </row>
    <row r="35" spans="1:9">
      <c r="A35">
        <v>3093</v>
      </c>
      <c r="B35" t="s">
        <v>1600</v>
      </c>
      <c r="C35" t="s">
        <v>1586</v>
      </c>
      <c r="D35">
        <v>67</v>
      </c>
      <c r="E35">
        <v>60</v>
      </c>
      <c r="F35">
        <v>10</v>
      </c>
      <c r="G35">
        <v>2</v>
      </c>
      <c r="H35">
        <v>2</v>
      </c>
      <c r="I35">
        <v>100</v>
      </c>
    </row>
    <row r="36" spans="1:9">
      <c r="A36">
        <v>591</v>
      </c>
      <c r="B36" t="s">
        <v>1601</v>
      </c>
      <c r="C36" t="s">
        <v>1575</v>
      </c>
      <c r="D36">
        <v>67</v>
      </c>
      <c r="E36">
        <v>60</v>
      </c>
      <c r="F36">
        <v>10</v>
      </c>
      <c r="G36">
        <v>2</v>
      </c>
      <c r="H36">
        <v>2</v>
      </c>
      <c r="I36">
        <v>200</v>
      </c>
    </row>
    <row r="37" spans="1:9">
      <c r="A37">
        <v>584</v>
      </c>
      <c r="B37" t="s">
        <v>1602</v>
      </c>
      <c r="C37" t="s">
        <v>1575</v>
      </c>
      <c r="D37">
        <v>60</v>
      </c>
      <c r="E37">
        <v>54</v>
      </c>
      <c r="F37">
        <v>10</v>
      </c>
      <c r="G37">
        <v>2</v>
      </c>
      <c r="H37">
        <v>2</v>
      </c>
      <c r="I37">
        <v>500</v>
      </c>
    </row>
    <row r="38" spans="1:9">
      <c r="A38">
        <v>2750</v>
      </c>
      <c r="B38" t="s">
        <v>1603</v>
      </c>
      <c r="C38" t="s">
        <v>14</v>
      </c>
      <c r="D38">
        <v>60</v>
      </c>
      <c r="E38">
        <v>54</v>
      </c>
      <c r="F38">
        <v>10</v>
      </c>
      <c r="G38">
        <v>1</v>
      </c>
      <c r="H38">
        <v>1</v>
      </c>
      <c r="I38">
        <v>200</v>
      </c>
    </row>
    <row r="39" spans="1:9">
      <c r="A39">
        <v>575</v>
      </c>
      <c r="B39" t="s">
        <v>1604</v>
      </c>
      <c r="C39" t="s">
        <v>1575</v>
      </c>
      <c r="D39">
        <v>60</v>
      </c>
      <c r="E39">
        <v>54</v>
      </c>
      <c r="F39">
        <v>10</v>
      </c>
      <c r="G39">
        <v>2</v>
      </c>
      <c r="H39">
        <v>2</v>
      </c>
      <c r="I39">
        <v>100</v>
      </c>
    </row>
    <row r="40" spans="1:9">
      <c r="A40">
        <v>2737</v>
      </c>
      <c r="B40" t="s">
        <v>1605</v>
      </c>
      <c r="C40" t="s">
        <v>14</v>
      </c>
      <c r="D40">
        <v>25</v>
      </c>
      <c r="E40">
        <v>22.5</v>
      </c>
      <c r="F40">
        <v>10</v>
      </c>
      <c r="G40">
        <v>1</v>
      </c>
      <c r="H40">
        <v>1</v>
      </c>
      <c r="I40">
        <v>100</v>
      </c>
    </row>
    <row r="41" spans="1:9">
      <c r="A41">
        <v>1749</v>
      </c>
      <c r="B41" t="s">
        <v>1606</v>
      </c>
      <c r="C41" t="s">
        <v>1577</v>
      </c>
      <c r="D41">
        <v>20</v>
      </c>
      <c r="E41">
        <v>18</v>
      </c>
      <c r="F41">
        <v>10</v>
      </c>
      <c r="G41">
        <v>3</v>
      </c>
      <c r="H41">
        <v>3</v>
      </c>
      <c r="I41">
        <v>100</v>
      </c>
    </row>
    <row r="42" spans="1:9">
      <c r="A42">
        <v>1760</v>
      </c>
      <c r="B42" t="s">
        <v>1607</v>
      </c>
      <c r="C42" t="s">
        <v>1577</v>
      </c>
      <c r="D42">
        <v>295</v>
      </c>
      <c r="E42">
        <v>266</v>
      </c>
      <c r="F42">
        <v>9</v>
      </c>
      <c r="G42">
        <v>3</v>
      </c>
      <c r="H42">
        <v>3</v>
      </c>
      <c r="I42">
        <v>350</v>
      </c>
    </row>
    <row r="43" spans="1:9">
      <c r="A43">
        <v>546</v>
      </c>
      <c r="B43" t="s">
        <v>1608</v>
      </c>
      <c r="C43" t="s">
        <v>1575</v>
      </c>
      <c r="D43">
        <v>295</v>
      </c>
      <c r="E43">
        <v>266</v>
      </c>
      <c r="F43">
        <v>9</v>
      </c>
      <c r="G43">
        <v>2</v>
      </c>
      <c r="H43">
        <v>2</v>
      </c>
      <c r="I43">
        <v>5000</v>
      </c>
    </row>
    <row r="44" spans="1:9">
      <c r="A44">
        <v>2600</v>
      </c>
      <c r="B44" t="s">
        <v>1609</v>
      </c>
      <c r="C44" t="s">
        <v>19</v>
      </c>
      <c r="D44">
        <v>275</v>
      </c>
      <c r="E44">
        <v>248</v>
      </c>
      <c r="F44">
        <v>9</v>
      </c>
      <c r="G44">
        <v>1</v>
      </c>
      <c r="H44">
        <v>1</v>
      </c>
      <c r="I44">
        <v>450</v>
      </c>
    </row>
    <row r="45" spans="1:9">
      <c r="A45">
        <v>3630</v>
      </c>
      <c r="B45" t="s">
        <v>1610</v>
      </c>
      <c r="C45" t="s">
        <v>27</v>
      </c>
      <c r="D45">
        <v>235</v>
      </c>
      <c r="E45">
        <v>212</v>
      </c>
      <c r="F45">
        <v>9</v>
      </c>
      <c r="G45">
        <v>1</v>
      </c>
      <c r="H45">
        <v>1</v>
      </c>
      <c r="I45">
        <v>860</v>
      </c>
    </row>
    <row r="46" spans="1:9">
      <c r="A46">
        <v>3081</v>
      </c>
      <c r="B46" t="s">
        <v>1611</v>
      </c>
      <c r="C46" t="s">
        <v>1586</v>
      </c>
      <c r="D46">
        <v>215</v>
      </c>
      <c r="E46">
        <v>194</v>
      </c>
      <c r="F46">
        <v>9</v>
      </c>
      <c r="G46">
        <v>2</v>
      </c>
      <c r="H46">
        <v>2</v>
      </c>
      <c r="I46">
        <v>400</v>
      </c>
    </row>
    <row r="47" spans="1:9">
      <c r="A47">
        <v>3092</v>
      </c>
      <c r="B47" t="s">
        <v>1612</v>
      </c>
      <c r="C47" t="s">
        <v>1586</v>
      </c>
      <c r="D47">
        <v>145</v>
      </c>
      <c r="E47">
        <v>131</v>
      </c>
      <c r="F47">
        <v>9</v>
      </c>
      <c r="G47">
        <v>2</v>
      </c>
      <c r="H47">
        <v>2</v>
      </c>
      <c r="I47">
        <v>100</v>
      </c>
    </row>
    <row r="48" spans="1:9">
      <c r="A48">
        <v>592</v>
      </c>
      <c r="B48" t="s">
        <v>1613</v>
      </c>
      <c r="C48" t="s">
        <v>1575</v>
      </c>
      <c r="D48">
        <v>125</v>
      </c>
      <c r="E48">
        <v>113</v>
      </c>
      <c r="F48">
        <v>9</v>
      </c>
      <c r="G48">
        <v>2</v>
      </c>
      <c r="H48">
        <v>2</v>
      </c>
      <c r="I48">
        <v>500</v>
      </c>
    </row>
    <row r="49" spans="1:9">
      <c r="A49">
        <v>590</v>
      </c>
      <c r="B49" t="s">
        <v>1614</v>
      </c>
      <c r="C49" t="s">
        <v>1571</v>
      </c>
      <c r="D49">
        <v>91</v>
      </c>
      <c r="E49">
        <v>82</v>
      </c>
      <c r="F49">
        <v>9</v>
      </c>
      <c r="G49">
        <v>5</v>
      </c>
      <c r="H49">
        <v>5</v>
      </c>
      <c r="I49">
        <v>560</v>
      </c>
    </row>
    <row r="50" spans="1:9">
      <c r="A50">
        <v>3091</v>
      </c>
      <c r="B50" t="s">
        <v>1615</v>
      </c>
      <c r="C50" t="s">
        <v>1586</v>
      </c>
      <c r="D50">
        <v>82</v>
      </c>
      <c r="E50">
        <v>74</v>
      </c>
      <c r="F50">
        <v>9</v>
      </c>
      <c r="G50">
        <v>2</v>
      </c>
      <c r="H50">
        <v>2</v>
      </c>
      <c r="I50">
        <v>27</v>
      </c>
    </row>
    <row r="51" spans="1:9">
      <c r="A51">
        <v>569</v>
      </c>
      <c r="B51" t="s">
        <v>1616</v>
      </c>
      <c r="C51" t="s">
        <v>1575</v>
      </c>
      <c r="D51">
        <v>65</v>
      </c>
      <c r="E51">
        <v>59</v>
      </c>
      <c r="F51">
        <v>9</v>
      </c>
      <c r="G51">
        <v>2</v>
      </c>
      <c r="H51">
        <v>2</v>
      </c>
      <c r="I51">
        <v>100</v>
      </c>
    </row>
    <row r="52" spans="1:9">
      <c r="A52">
        <v>3625</v>
      </c>
      <c r="B52" t="s">
        <v>1617</v>
      </c>
      <c r="C52" t="s">
        <v>27</v>
      </c>
      <c r="D52">
        <v>65</v>
      </c>
      <c r="E52">
        <v>59</v>
      </c>
      <c r="F52">
        <v>9</v>
      </c>
      <c r="G52">
        <v>1</v>
      </c>
      <c r="H52">
        <v>1</v>
      </c>
      <c r="I52">
        <v>116</v>
      </c>
    </row>
    <row r="53" spans="1:9">
      <c r="A53">
        <v>570</v>
      </c>
      <c r="B53" t="s">
        <v>1618</v>
      </c>
      <c r="C53" t="s">
        <v>1575</v>
      </c>
      <c r="D53">
        <v>55</v>
      </c>
      <c r="E53">
        <v>50</v>
      </c>
      <c r="F53">
        <v>9</v>
      </c>
      <c r="G53">
        <v>2</v>
      </c>
      <c r="H53">
        <v>2</v>
      </c>
      <c r="I53">
        <v>500</v>
      </c>
    </row>
    <row r="54" spans="1:9">
      <c r="A54">
        <v>3086</v>
      </c>
      <c r="B54" t="s">
        <v>1619</v>
      </c>
      <c r="C54" t="s">
        <v>1620</v>
      </c>
      <c r="D54">
        <v>32</v>
      </c>
      <c r="E54">
        <v>29</v>
      </c>
      <c r="F54">
        <v>9</v>
      </c>
      <c r="G54">
        <v>3</v>
      </c>
      <c r="H54">
        <v>3</v>
      </c>
      <c r="I54">
        <v>406</v>
      </c>
    </row>
    <row r="55" spans="1:9">
      <c r="A55">
        <v>1740</v>
      </c>
      <c r="B55" t="s">
        <v>1621</v>
      </c>
      <c r="C55" t="s">
        <v>1577</v>
      </c>
      <c r="D55">
        <v>31</v>
      </c>
      <c r="E55">
        <v>28</v>
      </c>
      <c r="F55">
        <v>9</v>
      </c>
      <c r="G55">
        <v>3</v>
      </c>
      <c r="H55">
        <v>3</v>
      </c>
      <c r="I55">
        <v>70</v>
      </c>
    </row>
    <row r="56" spans="1:9">
      <c r="A56">
        <v>1746</v>
      </c>
      <c r="B56" t="s">
        <v>1622</v>
      </c>
      <c r="C56" t="s">
        <v>1577</v>
      </c>
      <c r="D56">
        <v>31</v>
      </c>
      <c r="E56">
        <v>28</v>
      </c>
      <c r="F56">
        <v>9</v>
      </c>
      <c r="G56">
        <v>3</v>
      </c>
      <c r="H56">
        <v>3</v>
      </c>
      <c r="I56">
        <v>70</v>
      </c>
    </row>
    <row r="57" spans="1:9">
      <c r="A57">
        <v>554</v>
      </c>
      <c r="B57" t="s">
        <v>1623</v>
      </c>
      <c r="C57" t="s">
        <v>1575</v>
      </c>
      <c r="D57">
        <v>315</v>
      </c>
      <c r="E57">
        <v>287</v>
      </c>
      <c r="F57">
        <v>8</v>
      </c>
      <c r="G57">
        <v>2</v>
      </c>
      <c r="H57">
        <v>2</v>
      </c>
      <c r="I57">
        <v>5000</v>
      </c>
    </row>
    <row r="58" spans="1:9">
      <c r="A58">
        <v>583</v>
      </c>
      <c r="B58" t="s">
        <v>1624</v>
      </c>
      <c r="C58" t="s">
        <v>1575</v>
      </c>
      <c r="D58">
        <v>185</v>
      </c>
      <c r="E58">
        <v>169</v>
      </c>
      <c r="F58">
        <v>8</v>
      </c>
      <c r="G58">
        <v>2</v>
      </c>
      <c r="H58">
        <v>2</v>
      </c>
      <c r="I58">
        <v>1000</v>
      </c>
    </row>
    <row r="59" spans="1:9">
      <c r="A59">
        <v>3623</v>
      </c>
      <c r="B59" t="s">
        <v>1625</v>
      </c>
      <c r="C59" t="s">
        <v>27</v>
      </c>
      <c r="D59">
        <v>90</v>
      </c>
      <c r="E59">
        <v>82</v>
      </c>
      <c r="F59">
        <v>8</v>
      </c>
      <c r="G59">
        <v>1</v>
      </c>
      <c r="H59">
        <v>1</v>
      </c>
      <c r="I59">
        <v>100</v>
      </c>
    </row>
    <row r="60" spans="1:9">
      <c r="A60">
        <v>1742</v>
      </c>
      <c r="B60" t="s">
        <v>1626</v>
      </c>
      <c r="C60" t="s">
        <v>1577</v>
      </c>
      <c r="D60">
        <v>69</v>
      </c>
      <c r="E60">
        <v>63</v>
      </c>
      <c r="F60">
        <v>8</v>
      </c>
      <c r="G60">
        <v>3</v>
      </c>
      <c r="H60">
        <v>3</v>
      </c>
      <c r="I60">
        <v>250</v>
      </c>
    </row>
    <row r="61" spans="1:9">
      <c r="A61">
        <v>547</v>
      </c>
      <c r="B61" t="s">
        <v>1627</v>
      </c>
      <c r="C61" t="s">
        <v>1575</v>
      </c>
      <c r="D61">
        <v>35</v>
      </c>
      <c r="E61">
        <v>32</v>
      </c>
      <c r="F61">
        <v>8</v>
      </c>
      <c r="G61">
        <v>2</v>
      </c>
      <c r="H61">
        <v>2</v>
      </c>
      <c r="I61">
        <v>500</v>
      </c>
    </row>
    <row r="62" spans="1:9">
      <c r="A62">
        <v>2715</v>
      </c>
      <c r="B62" t="s">
        <v>1628</v>
      </c>
      <c r="C62" t="s">
        <v>14</v>
      </c>
      <c r="D62">
        <v>35</v>
      </c>
      <c r="E62">
        <v>32</v>
      </c>
      <c r="F62">
        <v>8</v>
      </c>
      <c r="G62">
        <v>1</v>
      </c>
      <c r="H62">
        <v>1</v>
      </c>
      <c r="I62">
        <v>75</v>
      </c>
    </row>
    <row r="63" spans="1:9">
      <c r="A63">
        <v>2727</v>
      </c>
      <c r="B63" t="s">
        <v>1629</v>
      </c>
      <c r="C63" t="s">
        <v>14</v>
      </c>
      <c r="D63">
        <v>25</v>
      </c>
      <c r="E63">
        <v>23</v>
      </c>
      <c r="F63">
        <v>8</v>
      </c>
      <c r="G63">
        <v>1</v>
      </c>
      <c r="H63">
        <v>1</v>
      </c>
      <c r="I63">
        <v>75</v>
      </c>
    </row>
    <row r="64" spans="1:9">
      <c r="A64">
        <v>3624</v>
      </c>
      <c r="B64" t="s">
        <v>1630</v>
      </c>
      <c r="C64" t="s">
        <v>27</v>
      </c>
      <c r="D64">
        <v>12</v>
      </c>
      <c r="E64">
        <v>11</v>
      </c>
      <c r="F64">
        <v>8</v>
      </c>
      <c r="G64">
        <v>1</v>
      </c>
      <c r="H64">
        <v>1</v>
      </c>
      <c r="I64">
        <v>58</v>
      </c>
    </row>
    <row r="65" spans="1:9">
      <c r="A65">
        <v>3097</v>
      </c>
      <c r="B65" t="s">
        <v>1631</v>
      </c>
      <c r="C65" t="s">
        <v>1586</v>
      </c>
      <c r="D65">
        <v>399</v>
      </c>
      <c r="E65">
        <v>369</v>
      </c>
      <c r="F65">
        <v>7</v>
      </c>
      <c r="G65">
        <v>2</v>
      </c>
      <c r="H65">
        <v>2</v>
      </c>
      <c r="I65">
        <v>26</v>
      </c>
    </row>
    <row r="66" spans="1:9">
      <c r="A66">
        <v>3088</v>
      </c>
      <c r="B66" t="s">
        <v>1632</v>
      </c>
      <c r="C66" t="s">
        <v>1620</v>
      </c>
      <c r="D66">
        <v>249</v>
      </c>
      <c r="E66">
        <v>230</v>
      </c>
      <c r="F66">
        <v>7</v>
      </c>
      <c r="G66">
        <v>3</v>
      </c>
      <c r="H66">
        <v>3</v>
      </c>
      <c r="I66">
        <v>58</v>
      </c>
    </row>
    <row r="67" spans="1:9">
      <c r="A67">
        <v>3626</v>
      </c>
      <c r="B67" t="s">
        <v>1633</v>
      </c>
      <c r="C67" t="s">
        <v>27</v>
      </c>
      <c r="D67">
        <v>190</v>
      </c>
      <c r="E67">
        <v>175</v>
      </c>
      <c r="F67">
        <v>7</v>
      </c>
      <c r="G67">
        <v>1</v>
      </c>
      <c r="H67">
        <v>1</v>
      </c>
      <c r="I67">
        <v>58</v>
      </c>
    </row>
    <row r="68" spans="1:9">
      <c r="A68">
        <v>3094</v>
      </c>
      <c r="B68" t="s">
        <v>1634</v>
      </c>
      <c r="C68" t="s">
        <v>1586</v>
      </c>
      <c r="D68">
        <v>130</v>
      </c>
      <c r="E68">
        <v>120</v>
      </c>
      <c r="F68">
        <v>7</v>
      </c>
      <c r="G68">
        <v>2</v>
      </c>
      <c r="H68">
        <v>2</v>
      </c>
      <c r="I68">
        <v>200</v>
      </c>
    </row>
    <row r="69" spans="1:9">
      <c r="A69">
        <v>1754</v>
      </c>
      <c r="B69" t="s">
        <v>1635</v>
      </c>
      <c r="C69" t="s">
        <v>1577</v>
      </c>
      <c r="D69">
        <v>120</v>
      </c>
      <c r="E69">
        <v>111</v>
      </c>
      <c r="F69">
        <v>7</v>
      </c>
      <c r="G69">
        <v>3</v>
      </c>
      <c r="H69">
        <v>3</v>
      </c>
      <c r="I69">
        <v>950</v>
      </c>
    </row>
    <row r="70" spans="1:9">
      <c r="A70">
        <v>3084</v>
      </c>
      <c r="B70" t="s">
        <v>1636</v>
      </c>
      <c r="C70" t="s">
        <v>1586</v>
      </c>
      <c r="D70">
        <v>115</v>
      </c>
      <c r="E70">
        <v>106</v>
      </c>
      <c r="F70">
        <v>7</v>
      </c>
      <c r="G70">
        <v>2</v>
      </c>
      <c r="H70">
        <v>2</v>
      </c>
      <c r="I70">
        <v>75</v>
      </c>
    </row>
    <row r="71" spans="1:9">
      <c r="A71">
        <v>604</v>
      </c>
      <c r="B71" t="s">
        <v>1637</v>
      </c>
      <c r="C71" t="s">
        <v>1575</v>
      </c>
      <c r="D71">
        <v>102</v>
      </c>
      <c r="E71">
        <v>94</v>
      </c>
      <c r="F71">
        <v>7</v>
      </c>
      <c r="G71">
        <v>2</v>
      </c>
      <c r="H71">
        <v>2</v>
      </c>
      <c r="I71">
        <v>1000</v>
      </c>
    </row>
    <row r="72" spans="1:9">
      <c r="A72">
        <v>557</v>
      </c>
      <c r="B72" t="s">
        <v>114</v>
      </c>
      <c r="C72" t="s">
        <v>1575</v>
      </c>
      <c r="D72">
        <v>80</v>
      </c>
      <c r="E72">
        <v>74</v>
      </c>
      <c r="F72">
        <v>7</v>
      </c>
      <c r="G72">
        <v>2</v>
      </c>
      <c r="H72">
        <v>2</v>
      </c>
      <c r="I72">
        <v>500</v>
      </c>
    </row>
    <row r="73" spans="1:9">
      <c r="A73">
        <v>597</v>
      </c>
      <c r="B73" t="s">
        <v>1638</v>
      </c>
      <c r="C73" t="s">
        <v>1575</v>
      </c>
      <c r="D73">
        <v>64</v>
      </c>
      <c r="E73">
        <v>59</v>
      </c>
      <c r="F73">
        <v>7</v>
      </c>
      <c r="G73">
        <v>2</v>
      </c>
      <c r="H73">
        <v>2</v>
      </c>
      <c r="I73">
        <v>1000</v>
      </c>
    </row>
    <row r="74" spans="1:9">
      <c r="A74">
        <v>562</v>
      </c>
      <c r="B74" t="s">
        <v>1639</v>
      </c>
      <c r="C74" t="s">
        <v>1575</v>
      </c>
      <c r="D74">
        <v>38</v>
      </c>
      <c r="E74">
        <v>35</v>
      </c>
      <c r="F74">
        <v>7</v>
      </c>
      <c r="G74">
        <v>2</v>
      </c>
      <c r="H74">
        <v>2</v>
      </c>
      <c r="I74">
        <v>500</v>
      </c>
    </row>
    <row r="75" spans="1:9">
      <c r="A75">
        <v>3632</v>
      </c>
      <c r="B75" t="s">
        <v>164</v>
      </c>
      <c r="C75" t="s">
        <v>27</v>
      </c>
      <c r="D75">
        <v>208</v>
      </c>
      <c r="E75">
        <v>195</v>
      </c>
      <c r="F75">
        <v>6</v>
      </c>
      <c r="G75">
        <v>1</v>
      </c>
      <c r="H75">
        <v>1</v>
      </c>
      <c r="I75">
        <v>1000</v>
      </c>
    </row>
    <row r="76" spans="1:9">
      <c r="A76">
        <v>1756</v>
      </c>
      <c r="B76" t="s">
        <v>1640</v>
      </c>
      <c r="C76" t="s">
        <v>1577</v>
      </c>
      <c r="D76">
        <v>135</v>
      </c>
      <c r="E76">
        <v>126</v>
      </c>
      <c r="F76">
        <v>6</v>
      </c>
      <c r="G76">
        <v>3</v>
      </c>
      <c r="H76">
        <v>3</v>
      </c>
      <c r="I76">
        <v>500</v>
      </c>
    </row>
    <row r="77" spans="1:9">
      <c r="A77">
        <v>565</v>
      </c>
      <c r="B77" t="s">
        <v>1641</v>
      </c>
      <c r="C77" t="s">
        <v>1575</v>
      </c>
      <c r="D77">
        <v>119</v>
      </c>
      <c r="E77">
        <v>111</v>
      </c>
      <c r="F77">
        <v>6</v>
      </c>
      <c r="G77">
        <v>2</v>
      </c>
      <c r="H77">
        <v>2</v>
      </c>
      <c r="I77">
        <v>500</v>
      </c>
    </row>
    <row r="78" spans="1:9">
      <c r="A78">
        <v>566</v>
      </c>
      <c r="B78" t="s">
        <v>1642</v>
      </c>
      <c r="C78" t="s">
        <v>1575</v>
      </c>
      <c r="D78">
        <v>88</v>
      </c>
      <c r="E78">
        <v>82</v>
      </c>
      <c r="F78">
        <v>6</v>
      </c>
      <c r="G78">
        <v>2</v>
      </c>
      <c r="H78">
        <v>2</v>
      </c>
      <c r="I78">
        <v>500</v>
      </c>
    </row>
    <row r="79" spans="1:9">
      <c r="A79">
        <v>2729</v>
      </c>
      <c r="B79" t="s">
        <v>1643</v>
      </c>
      <c r="C79" t="s">
        <v>14</v>
      </c>
      <c r="D79">
        <v>65</v>
      </c>
      <c r="E79">
        <v>61</v>
      </c>
      <c r="F79">
        <v>6</v>
      </c>
      <c r="G79">
        <v>1</v>
      </c>
      <c r="H79">
        <v>1</v>
      </c>
      <c r="I79">
        <v>200</v>
      </c>
    </row>
    <row r="80" spans="1:9">
      <c r="A80">
        <v>1725</v>
      </c>
      <c r="B80" t="s">
        <v>1644</v>
      </c>
      <c r="C80" t="s">
        <v>1577</v>
      </c>
      <c r="D80">
        <v>60</v>
      </c>
      <c r="E80">
        <v>56</v>
      </c>
      <c r="F80">
        <v>6</v>
      </c>
      <c r="G80">
        <v>3</v>
      </c>
      <c r="H80">
        <v>3</v>
      </c>
      <c r="I80">
        <v>156</v>
      </c>
    </row>
    <row r="81" spans="1:9">
      <c r="A81">
        <v>544</v>
      </c>
      <c r="B81" t="s">
        <v>1645</v>
      </c>
      <c r="C81" t="s">
        <v>1575</v>
      </c>
      <c r="D81">
        <v>60</v>
      </c>
      <c r="E81">
        <v>56</v>
      </c>
      <c r="F81">
        <v>6</v>
      </c>
      <c r="G81">
        <v>2</v>
      </c>
      <c r="H81">
        <v>2</v>
      </c>
      <c r="I81">
        <v>1000</v>
      </c>
    </row>
    <row r="82" spans="1:9">
      <c r="A82">
        <v>550</v>
      </c>
      <c r="B82" t="s">
        <v>1646</v>
      </c>
      <c r="C82" t="s">
        <v>1575</v>
      </c>
      <c r="D82">
        <v>58</v>
      </c>
      <c r="E82">
        <v>54</v>
      </c>
      <c r="F82">
        <v>6</v>
      </c>
      <c r="G82">
        <v>2</v>
      </c>
      <c r="H82">
        <v>2</v>
      </c>
      <c r="I82">
        <v>72</v>
      </c>
    </row>
    <row r="83" spans="1:9">
      <c r="A83">
        <v>2742</v>
      </c>
      <c r="B83" t="s">
        <v>153</v>
      </c>
      <c r="C83" t="s">
        <v>14</v>
      </c>
      <c r="D83">
        <v>50</v>
      </c>
      <c r="E83">
        <v>47</v>
      </c>
      <c r="F83">
        <v>6</v>
      </c>
      <c r="G83">
        <v>1</v>
      </c>
      <c r="H83">
        <v>1</v>
      </c>
      <c r="I83">
        <v>300</v>
      </c>
    </row>
    <row r="84" spans="1:9">
      <c r="A84">
        <v>571</v>
      </c>
      <c r="B84" t="s">
        <v>108</v>
      </c>
      <c r="C84" t="s">
        <v>1575</v>
      </c>
      <c r="D84">
        <v>50</v>
      </c>
      <c r="E84">
        <v>47</v>
      </c>
      <c r="F84">
        <v>6</v>
      </c>
      <c r="G84">
        <v>2</v>
      </c>
      <c r="H84">
        <v>2</v>
      </c>
      <c r="I84">
        <v>200</v>
      </c>
    </row>
    <row r="85" spans="1:9">
      <c r="A85">
        <v>587</v>
      </c>
      <c r="B85" t="s">
        <v>1647</v>
      </c>
      <c r="C85" t="s">
        <v>1571</v>
      </c>
      <c r="D85">
        <v>48</v>
      </c>
      <c r="E85">
        <v>45</v>
      </c>
      <c r="F85">
        <v>6</v>
      </c>
      <c r="G85">
        <v>5</v>
      </c>
      <c r="H85">
        <v>5</v>
      </c>
      <c r="I85">
        <v>240</v>
      </c>
    </row>
    <row r="86" spans="1:9">
      <c r="A86">
        <v>555</v>
      </c>
      <c r="B86" t="s">
        <v>1648</v>
      </c>
      <c r="C86" t="s">
        <v>1575</v>
      </c>
      <c r="D86">
        <v>44</v>
      </c>
      <c r="E86">
        <v>41</v>
      </c>
      <c r="F86">
        <v>6</v>
      </c>
      <c r="G86">
        <v>2</v>
      </c>
      <c r="H86">
        <v>2</v>
      </c>
      <c r="I86">
        <v>500</v>
      </c>
    </row>
    <row r="87" spans="1:9">
      <c r="A87">
        <v>2599</v>
      </c>
      <c r="B87" t="s">
        <v>1649</v>
      </c>
      <c r="C87" t="s">
        <v>19</v>
      </c>
      <c r="D87">
        <v>215</v>
      </c>
      <c r="E87">
        <v>204</v>
      </c>
      <c r="F87">
        <v>5</v>
      </c>
      <c r="G87">
        <v>1</v>
      </c>
      <c r="H87">
        <v>1</v>
      </c>
      <c r="I87">
        <v>500</v>
      </c>
    </row>
    <row r="88" spans="1:9">
      <c r="A88">
        <v>93</v>
      </c>
      <c r="B88" t="s">
        <v>1650</v>
      </c>
      <c r="C88" t="s">
        <v>1651</v>
      </c>
      <c r="D88">
        <v>160</v>
      </c>
      <c r="E88">
        <v>152</v>
      </c>
      <c r="F88">
        <v>5</v>
      </c>
      <c r="G88">
        <v>4</v>
      </c>
      <c r="H88">
        <v>4</v>
      </c>
      <c r="I88">
        <v>1000</v>
      </c>
    </row>
    <row r="89" spans="1:9">
      <c r="A89">
        <v>1757</v>
      </c>
      <c r="B89" t="s">
        <v>1652</v>
      </c>
      <c r="C89" t="s">
        <v>1577</v>
      </c>
      <c r="D89">
        <v>160</v>
      </c>
      <c r="E89">
        <v>152</v>
      </c>
      <c r="F89">
        <v>5</v>
      </c>
      <c r="G89">
        <v>3</v>
      </c>
      <c r="H89">
        <v>3</v>
      </c>
      <c r="I89">
        <v>320</v>
      </c>
    </row>
    <row r="90" spans="1:9">
      <c r="A90">
        <v>1240</v>
      </c>
      <c r="B90" t="s">
        <v>1653</v>
      </c>
      <c r="C90" t="s">
        <v>1569</v>
      </c>
      <c r="D90">
        <v>125</v>
      </c>
      <c r="E90">
        <v>118</v>
      </c>
      <c r="F90">
        <v>5</v>
      </c>
      <c r="G90">
        <v>2</v>
      </c>
      <c r="H90">
        <v>2</v>
      </c>
      <c r="I90">
        <v>200</v>
      </c>
    </row>
    <row r="91" spans="1:9">
      <c r="A91">
        <v>1244</v>
      </c>
      <c r="B91" t="s">
        <v>1654</v>
      </c>
      <c r="C91" t="s">
        <v>1569</v>
      </c>
      <c r="D91">
        <v>100</v>
      </c>
      <c r="E91">
        <v>95</v>
      </c>
      <c r="F91">
        <v>5</v>
      </c>
      <c r="G91">
        <v>2</v>
      </c>
      <c r="H91">
        <v>2</v>
      </c>
      <c r="I91">
        <v>140</v>
      </c>
    </row>
    <row r="92" spans="1:9">
      <c r="A92">
        <v>1739</v>
      </c>
      <c r="B92" t="s">
        <v>1655</v>
      </c>
      <c r="C92" t="s">
        <v>1577</v>
      </c>
      <c r="D92">
        <v>60</v>
      </c>
      <c r="E92">
        <v>57</v>
      </c>
      <c r="F92">
        <v>5</v>
      </c>
      <c r="G92">
        <v>3</v>
      </c>
      <c r="H92">
        <v>3</v>
      </c>
      <c r="I92">
        <v>200</v>
      </c>
    </row>
    <row r="93" spans="1:9">
      <c r="A93">
        <v>1727</v>
      </c>
      <c r="B93" t="s">
        <v>1656</v>
      </c>
      <c r="C93" t="s">
        <v>1577</v>
      </c>
      <c r="D93">
        <v>60</v>
      </c>
      <c r="E93">
        <v>57</v>
      </c>
      <c r="F93">
        <v>5</v>
      </c>
      <c r="G93">
        <v>3</v>
      </c>
      <c r="H93">
        <v>3</v>
      </c>
      <c r="I93">
        <v>200</v>
      </c>
    </row>
    <row r="94" spans="1:9">
      <c r="A94">
        <v>91</v>
      </c>
      <c r="B94" t="s">
        <v>1657</v>
      </c>
      <c r="C94" t="s">
        <v>1651</v>
      </c>
      <c r="D94">
        <v>60</v>
      </c>
      <c r="E94">
        <v>57</v>
      </c>
      <c r="F94">
        <v>5</v>
      </c>
      <c r="G94">
        <v>4</v>
      </c>
      <c r="H94">
        <v>4</v>
      </c>
      <c r="I94">
        <v>500</v>
      </c>
    </row>
    <row r="95" spans="1:9">
      <c r="A95">
        <v>2718</v>
      </c>
      <c r="B95" t="s">
        <v>133</v>
      </c>
      <c r="C95" t="s">
        <v>14</v>
      </c>
      <c r="D95">
        <v>40</v>
      </c>
      <c r="E95">
        <v>38</v>
      </c>
      <c r="F95">
        <v>5</v>
      </c>
      <c r="G95">
        <v>1</v>
      </c>
      <c r="H95">
        <v>1</v>
      </c>
      <c r="I95">
        <v>200</v>
      </c>
    </row>
    <row r="96" spans="1:9">
      <c r="A96">
        <v>606</v>
      </c>
      <c r="B96" t="s">
        <v>1658</v>
      </c>
      <c r="C96" t="s">
        <v>1659</v>
      </c>
      <c r="D96">
        <v>150</v>
      </c>
      <c r="E96">
        <v>143</v>
      </c>
      <c r="F96">
        <v>4</v>
      </c>
      <c r="G96">
        <v>6</v>
      </c>
      <c r="H96">
        <v>6</v>
      </c>
      <c r="I96">
        <v>250</v>
      </c>
    </row>
    <row r="97" spans="1:9">
      <c r="A97">
        <v>1758</v>
      </c>
      <c r="B97" t="s">
        <v>101</v>
      </c>
      <c r="C97" t="s">
        <v>1577</v>
      </c>
      <c r="D97">
        <v>115</v>
      </c>
      <c r="E97">
        <v>110</v>
      </c>
      <c r="F97">
        <v>4</v>
      </c>
      <c r="G97">
        <v>3</v>
      </c>
      <c r="H97">
        <v>3</v>
      </c>
      <c r="I97">
        <v>400</v>
      </c>
    </row>
    <row r="98" spans="1:9">
      <c r="A98">
        <v>92</v>
      </c>
      <c r="B98" t="s">
        <v>1660</v>
      </c>
      <c r="C98" t="s">
        <v>1651</v>
      </c>
      <c r="D98">
        <v>41</v>
      </c>
      <c r="E98">
        <v>39</v>
      </c>
      <c r="F98">
        <v>4</v>
      </c>
      <c r="G98">
        <v>4</v>
      </c>
      <c r="H98">
        <v>4</v>
      </c>
      <c r="I98">
        <v>200</v>
      </c>
    </row>
    <row r="99" spans="1:9">
      <c r="A99">
        <v>1226</v>
      </c>
      <c r="B99" t="s">
        <v>1661</v>
      </c>
      <c r="C99" t="s">
        <v>1569</v>
      </c>
      <c r="D99">
        <v>25</v>
      </c>
      <c r="E99">
        <v>24</v>
      </c>
      <c r="F99">
        <v>4</v>
      </c>
      <c r="G99">
        <v>2</v>
      </c>
      <c r="H99">
        <v>2</v>
      </c>
      <c r="I99">
        <v>250</v>
      </c>
    </row>
    <row r="100" spans="1:9">
      <c r="A100">
        <v>3617</v>
      </c>
      <c r="B100" t="s">
        <v>107</v>
      </c>
      <c r="C100" t="s">
        <v>27</v>
      </c>
      <c r="D100">
        <v>23</v>
      </c>
      <c r="E100">
        <v>22</v>
      </c>
      <c r="F100">
        <v>4</v>
      </c>
      <c r="G100">
        <v>1</v>
      </c>
      <c r="H100">
        <v>1</v>
      </c>
      <c r="I100">
        <v>300</v>
      </c>
    </row>
    <row r="101" spans="1:9">
      <c r="A101">
        <v>3621</v>
      </c>
      <c r="B101" t="s">
        <v>1662</v>
      </c>
      <c r="C101" t="s">
        <v>27</v>
      </c>
      <c r="D101">
        <v>136</v>
      </c>
      <c r="E101">
        <v>131</v>
      </c>
      <c r="F101">
        <v>3</v>
      </c>
      <c r="G101">
        <v>1</v>
      </c>
      <c r="H101">
        <v>1</v>
      </c>
      <c r="I101">
        <v>1000</v>
      </c>
    </row>
    <row r="102" spans="1:9">
      <c r="A102">
        <v>3077</v>
      </c>
      <c r="B102" t="s">
        <v>1663</v>
      </c>
      <c r="C102" t="s">
        <v>1586</v>
      </c>
      <c r="D102">
        <v>109</v>
      </c>
      <c r="E102">
        <v>105</v>
      </c>
      <c r="F102">
        <v>3</v>
      </c>
      <c r="G102">
        <v>2</v>
      </c>
      <c r="H102">
        <v>2</v>
      </c>
      <c r="I102">
        <v>750</v>
      </c>
    </row>
    <row r="103" spans="1:9">
      <c r="A103">
        <v>3089</v>
      </c>
      <c r="B103" t="s">
        <v>176</v>
      </c>
      <c r="C103" t="s">
        <v>1620</v>
      </c>
      <c r="D103">
        <v>90</v>
      </c>
      <c r="E103">
        <v>87</v>
      </c>
      <c r="F103">
        <v>3</v>
      </c>
      <c r="G103">
        <v>3</v>
      </c>
      <c r="H103">
        <v>3</v>
      </c>
      <c r="I103">
        <v>58</v>
      </c>
    </row>
    <row r="104" spans="1:9">
      <c r="A104">
        <v>1242</v>
      </c>
      <c r="B104" t="s">
        <v>1664</v>
      </c>
      <c r="C104" t="s">
        <v>1580</v>
      </c>
      <c r="D104">
        <v>85</v>
      </c>
      <c r="E104">
        <v>82</v>
      </c>
      <c r="F104">
        <v>3</v>
      </c>
      <c r="G104">
        <v>5</v>
      </c>
      <c r="H104">
        <v>5</v>
      </c>
      <c r="I104">
        <v>200</v>
      </c>
    </row>
    <row r="105" spans="1:9">
      <c r="A105">
        <v>1232</v>
      </c>
      <c r="B105" t="s">
        <v>1665</v>
      </c>
      <c r="C105" t="s">
        <v>1569</v>
      </c>
      <c r="D105">
        <v>78</v>
      </c>
      <c r="E105">
        <v>75</v>
      </c>
      <c r="F105">
        <v>3</v>
      </c>
      <c r="G105">
        <v>2</v>
      </c>
      <c r="H105">
        <v>2</v>
      </c>
      <c r="I105">
        <v>400</v>
      </c>
    </row>
    <row r="106" spans="1:9">
      <c r="A106">
        <v>1223</v>
      </c>
      <c r="B106" t="s">
        <v>1666</v>
      </c>
      <c r="C106" t="s">
        <v>1569</v>
      </c>
      <c r="D106">
        <v>76</v>
      </c>
      <c r="E106">
        <v>73</v>
      </c>
      <c r="F106">
        <v>3</v>
      </c>
      <c r="G106">
        <v>2</v>
      </c>
      <c r="H106">
        <v>2</v>
      </c>
      <c r="I106">
        <v>200</v>
      </c>
    </row>
    <row r="107" spans="1:9">
      <c r="A107">
        <v>1224</v>
      </c>
      <c r="B107" t="s">
        <v>1667</v>
      </c>
      <c r="C107" t="s">
        <v>1569</v>
      </c>
      <c r="D107">
        <v>66</v>
      </c>
      <c r="E107">
        <v>64</v>
      </c>
      <c r="F107">
        <v>3</v>
      </c>
      <c r="G107">
        <v>2</v>
      </c>
      <c r="H107">
        <v>2</v>
      </c>
      <c r="I107">
        <v>1000</v>
      </c>
    </row>
    <row r="108" spans="1:9">
      <c r="A108">
        <v>1755</v>
      </c>
      <c r="B108" t="s">
        <v>1668</v>
      </c>
      <c r="C108" t="s">
        <v>1577</v>
      </c>
      <c r="D108">
        <v>55</v>
      </c>
      <c r="E108">
        <v>53</v>
      </c>
      <c r="F108">
        <v>3</v>
      </c>
      <c r="G108">
        <v>3</v>
      </c>
      <c r="H108">
        <v>3</v>
      </c>
      <c r="I108">
        <v>180</v>
      </c>
    </row>
    <row r="109" spans="1:9">
      <c r="A109">
        <v>561</v>
      </c>
      <c r="B109" t="s">
        <v>112</v>
      </c>
      <c r="C109" t="s">
        <v>1575</v>
      </c>
      <c r="D109">
        <v>32</v>
      </c>
      <c r="E109">
        <v>31</v>
      </c>
      <c r="F109">
        <v>3</v>
      </c>
      <c r="G109">
        <v>2</v>
      </c>
      <c r="H109">
        <v>2</v>
      </c>
      <c r="I109">
        <v>100</v>
      </c>
    </row>
    <row r="110" spans="1:9">
      <c r="A110">
        <v>2744</v>
      </c>
      <c r="B110" t="s">
        <v>1669</v>
      </c>
      <c r="C110" t="s">
        <v>14</v>
      </c>
      <c r="D110">
        <v>30</v>
      </c>
      <c r="E110">
        <v>29</v>
      </c>
      <c r="F110">
        <v>3</v>
      </c>
      <c r="G110">
        <v>1</v>
      </c>
      <c r="H110">
        <v>1</v>
      </c>
      <c r="I110">
        <v>120</v>
      </c>
    </row>
    <row r="111" spans="1:9">
      <c r="A111">
        <v>2733</v>
      </c>
      <c r="B111" t="s">
        <v>1670</v>
      </c>
      <c r="C111" t="s">
        <v>14</v>
      </c>
      <c r="D111">
        <v>30</v>
      </c>
      <c r="E111">
        <v>29</v>
      </c>
      <c r="F111">
        <v>3</v>
      </c>
      <c r="G111">
        <v>1</v>
      </c>
      <c r="H111">
        <v>1</v>
      </c>
      <c r="I111">
        <v>120</v>
      </c>
    </row>
    <row r="112" spans="1:9">
      <c r="A112">
        <v>577</v>
      </c>
      <c r="B112" t="s">
        <v>1671</v>
      </c>
      <c r="C112" t="s">
        <v>1575</v>
      </c>
      <c r="D112">
        <v>30</v>
      </c>
      <c r="E112">
        <v>29</v>
      </c>
      <c r="F112">
        <v>3</v>
      </c>
      <c r="G112">
        <v>2</v>
      </c>
      <c r="H112">
        <v>2</v>
      </c>
      <c r="I112">
        <v>50</v>
      </c>
    </row>
    <row r="113" spans="1:9">
      <c r="A113">
        <v>3079</v>
      </c>
      <c r="B113" t="s">
        <v>1672</v>
      </c>
      <c r="C113" t="s">
        <v>1620</v>
      </c>
      <c r="D113">
        <v>30</v>
      </c>
      <c r="E113">
        <v>29</v>
      </c>
      <c r="F113">
        <v>3</v>
      </c>
      <c r="G113">
        <v>3</v>
      </c>
      <c r="H113">
        <v>3</v>
      </c>
      <c r="I113">
        <v>406</v>
      </c>
    </row>
    <row r="114" spans="1:9">
      <c r="A114">
        <v>3627</v>
      </c>
      <c r="B114" t="s">
        <v>1673</v>
      </c>
      <c r="C114" t="s">
        <v>27</v>
      </c>
      <c r="D114">
        <v>105</v>
      </c>
      <c r="E114">
        <v>102</v>
      </c>
      <c r="F114">
        <v>2</v>
      </c>
      <c r="G114">
        <v>1</v>
      </c>
      <c r="H114">
        <v>1</v>
      </c>
      <c r="I114">
        <v>58</v>
      </c>
    </row>
    <row r="115" spans="1:9">
      <c r="A115">
        <v>567</v>
      </c>
      <c r="B115" t="s">
        <v>1674</v>
      </c>
      <c r="C115" t="s">
        <v>1575</v>
      </c>
      <c r="D115">
        <v>91</v>
      </c>
      <c r="E115">
        <v>89</v>
      </c>
      <c r="F115">
        <v>2</v>
      </c>
      <c r="G115">
        <v>2</v>
      </c>
      <c r="H115">
        <v>2</v>
      </c>
      <c r="I115">
        <v>500</v>
      </c>
    </row>
    <row r="116" spans="1:9">
      <c r="A116">
        <v>3620</v>
      </c>
      <c r="B116" t="s">
        <v>1675</v>
      </c>
      <c r="C116" t="s">
        <v>27</v>
      </c>
      <c r="D116">
        <v>86</v>
      </c>
      <c r="E116">
        <v>84</v>
      </c>
      <c r="F116">
        <v>2</v>
      </c>
      <c r="G116">
        <v>1</v>
      </c>
      <c r="H116">
        <v>1</v>
      </c>
      <c r="I116">
        <v>1000</v>
      </c>
    </row>
    <row r="117" spans="1:9">
      <c r="A117">
        <v>559</v>
      </c>
      <c r="B117" t="s">
        <v>1676</v>
      </c>
      <c r="C117" t="s">
        <v>1575</v>
      </c>
      <c r="D117">
        <v>50</v>
      </c>
      <c r="E117">
        <v>49</v>
      </c>
      <c r="F117">
        <v>2</v>
      </c>
      <c r="G117">
        <v>2</v>
      </c>
      <c r="H117">
        <v>2</v>
      </c>
      <c r="I117">
        <v>100</v>
      </c>
    </row>
    <row r="118" spans="1:9">
      <c r="A118">
        <v>603</v>
      </c>
      <c r="B118" t="s">
        <v>1677</v>
      </c>
      <c r="C118" t="s">
        <v>1575</v>
      </c>
      <c r="D118">
        <v>49</v>
      </c>
      <c r="E118">
        <v>48</v>
      </c>
      <c r="F118">
        <v>2</v>
      </c>
      <c r="G118">
        <v>2</v>
      </c>
      <c r="H118">
        <v>2</v>
      </c>
      <c r="I118">
        <v>200</v>
      </c>
    </row>
    <row r="119" spans="1:9">
      <c r="A119">
        <v>3080</v>
      </c>
      <c r="B119" t="s">
        <v>1678</v>
      </c>
      <c r="C119" t="s">
        <v>1586</v>
      </c>
      <c r="D119">
        <v>48</v>
      </c>
      <c r="E119">
        <v>47</v>
      </c>
      <c r="F119">
        <v>2</v>
      </c>
      <c r="G119">
        <v>2</v>
      </c>
      <c r="H119">
        <v>2</v>
      </c>
      <c r="I119">
        <v>120</v>
      </c>
    </row>
    <row r="120" spans="1:9">
      <c r="A120">
        <v>558</v>
      </c>
      <c r="B120" t="s">
        <v>1679</v>
      </c>
      <c r="C120" t="s">
        <v>1575</v>
      </c>
      <c r="D120">
        <v>47</v>
      </c>
      <c r="E120">
        <v>46</v>
      </c>
      <c r="F120">
        <v>2</v>
      </c>
      <c r="G120">
        <v>2</v>
      </c>
      <c r="H120">
        <v>2</v>
      </c>
      <c r="I120">
        <v>100</v>
      </c>
    </row>
    <row r="121" spans="1:9">
      <c r="A121">
        <v>3090</v>
      </c>
      <c r="B121" t="s">
        <v>1680</v>
      </c>
      <c r="C121" t="s">
        <v>1620</v>
      </c>
      <c r="D121">
        <v>42</v>
      </c>
      <c r="E121">
        <v>41</v>
      </c>
      <c r="F121">
        <v>2</v>
      </c>
      <c r="G121">
        <v>3</v>
      </c>
      <c r="H121">
        <v>3</v>
      </c>
      <c r="I121">
        <v>406</v>
      </c>
    </row>
    <row r="122" spans="1:9">
      <c r="A122">
        <v>582</v>
      </c>
      <c r="B122" t="s">
        <v>1681</v>
      </c>
      <c r="C122" t="s">
        <v>1575</v>
      </c>
      <c r="D122">
        <v>42</v>
      </c>
      <c r="E122">
        <v>41</v>
      </c>
      <c r="F122">
        <v>2</v>
      </c>
      <c r="G122">
        <v>2</v>
      </c>
      <c r="H122">
        <v>2</v>
      </c>
      <c r="I122">
        <v>50</v>
      </c>
    </row>
    <row r="123" spans="1:9">
      <c r="A123">
        <v>1730</v>
      </c>
      <c r="B123" t="s">
        <v>1682</v>
      </c>
      <c r="C123" t="s">
        <v>1577</v>
      </c>
      <c r="D123">
        <v>40</v>
      </c>
      <c r="E123">
        <v>39</v>
      </c>
      <c r="F123">
        <v>2</v>
      </c>
      <c r="G123">
        <v>3</v>
      </c>
      <c r="H123">
        <v>3</v>
      </c>
      <c r="I123">
        <v>40</v>
      </c>
    </row>
    <row r="124" spans="1:9">
      <c r="A124">
        <v>2730</v>
      </c>
      <c r="B124" t="s">
        <v>1683</v>
      </c>
      <c r="C124" t="s">
        <v>14</v>
      </c>
      <c r="D124">
        <v>35</v>
      </c>
      <c r="E124">
        <v>34</v>
      </c>
      <c r="F124">
        <v>2</v>
      </c>
      <c r="G124">
        <v>1</v>
      </c>
      <c r="H124">
        <v>1</v>
      </c>
      <c r="I124">
        <v>150</v>
      </c>
    </row>
    <row r="125" spans="1:9">
      <c r="A125">
        <v>2721</v>
      </c>
      <c r="B125" t="s">
        <v>1684</v>
      </c>
      <c r="C125" t="s">
        <v>14</v>
      </c>
      <c r="D125">
        <v>35</v>
      </c>
      <c r="E125">
        <v>34</v>
      </c>
      <c r="F125">
        <v>2</v>
      </c>
      <c r="G125">
        <v>1</v>
      </c>
      <c r="H125">
        <v>1</v>
      </c>
      <c r="I125">
        <v>150</v>
      </c>
    </row>
    <row r="126" spans="1:9">
      <c r="A126">
        <v>1731</v>
      </c>
      <c r="B126" t="s">
        <v>1685</v>
      </c>
      <c r="C126" t="s">
        <v>1577</v>
      </c>
      <c r="D126">
        <v>35</v>
      </c>
      <c r="E126">
        <v>34</v>
      </c>
      <c r="F126">
        <v>2</v>
      </c>
      <c r="G126">
        <v>3</v>
      </c>
      <c r="H126">
        <v>3</v>
      </c>
      <c r="I126">
        <v>70</v>
      </c>
    </row>
    <row r="127" spans="1:9">
      <c r="A127">
        <v>578</v>
      </c>
      <c r="B127" t="s">
        <v>1686</v>
      </c>
      <c r="C127" t="s">
        <v>1575</v>
      </c>
      <c r="D127">
        <v>34</v>
      </c>
      <c r="E127">
        <v>33</v>
      </c>
      <c r="F127">
        <v>2</v>
      </c>
      <c r="G127">
        <v>2</v>
      </c>
      <c r="H127">
        <v>2</v>
      </c>
      <c r="I127">
        <v>50</v>
      </c>
    </row>
    <row r="128" spans="1:9">
      <c r="A128">
        <v>560</v>
      </c>
      <c r="B128" t="s">
        <v>1687</v>
      </c>
      <c r="C128" t="s">
        <v>1575</v>
      </c>
      <c r="D128">
        <v>179</v>
      </c>
      <c r="E128">
        <v>177</v>
      </c>
      <c r="F128">
        <v>1</v>
      </c>
      <c r="G128">
        <v>2</v>
      </c>
      <c r="H128">
        <v>2</v>
      </c>
      <c r="I128">
        <v>1000</v>
      </c>
    </row>
    <row r="129" spans="1:9">
      <c r="A129">
        <v>1230</v>
      </c>
      <c r="B129" t="s">
        <v>1688</v>
      </c>
      <c r="C129" t="s">
        <v>1569</v>
      </c>
      <c r="D129">
        <v>100</v>
      </c>
      <c r="E129">
        <v>99</v>
      </c>
      <c r="F129">
        <v>1</v>
      </c>
      <c r="G129">
        <v>2</v>
      </c>
      <c r="H129">
        <v>2</v>
      </c>
      <c r="I129">
        <v>200</v>
      </c>
    </row>
    <row r="130" spans="1:9">
      <c r="A130">
        <v>589</v>
      </c>
      <c r="B130" t="s">
        <v>1689</v>
      </c>
      <c r="C130" t="s">
        <v>1575</v>
      </c>
      <c r="D130">
        <v>90</v>
      </c>
      <c r="E130">
        <v>89</v>
      </c>
      <c r="F130">
        <v>1</v>
      </c>
      <c r="G130">
        <v>2</v>
      </c>
      <c r="H130">
        <v>2</v>
      </c>
      <c r="I130">
        <v>1000</v>
      </c>
    </row>
    <row r="131" spans="1:9">
      <c r="A131">
        <v>1229</v>
      </c>
      <c r="B131" t="s">
        <v>166</v>
      </c>
      <c r="C131" t="s">
        <v>1569</v>
      </c>
      <c r="D131">
        <v>71</v>
      </c>
      <c r="E131">
        <v>70</v>
      </c>
      <c r="F131">
        <v>1</v>
      </c>
      <c r="G131">
        <v>2</v>
      </c>
      <c r="H131">
        <v>2</v>
      </c>
      <c r="I131">
        <v>100</v>
      </c>
    </row>
    <row r="132" spans="1:9">
      <c r="A132">
        <v>548</v>
      </c>
      <c r="B132" t="s">
        <v>1690</v>
      </c>
      <c r="C132" t="s">
        <v>1575</v>
      </c>
      <c r="D132">
        <v>53</v>
      </c>
      <c r="E132">
        <v>52</v>
      </c>
      <c r="F132">
        <v>1</v>
      </c>
      <c r="G132">
        <v>2</v>
      </c>
      <c r="H132">
        <v>2</v>
      </c>
      <c r="I132">
        <v>1000</v>
      </c>
    </row>
    <row r="133" spans="1:9">
      <c r="A133">
        <v>581</v>
      </c>
      <c r="B133" t="s">
        <v>1691</v>
      </c>
      <c r="C133" t="s">
        <v>1575</v>
      </c>
      <c r="D133">
        <v>565</v>
      </c>
      <c r="E133">
        <v>565</v>
      </c>
      <c r="F133">
        <v>0</v>
      </c>
      <c r="G133">
        <v>2</v>
      </c>
      <c r="H133">
        <v>2</v>
      </c>
      <c r="I133">
        <v>1000</v>
      </c>
    </row>
    <row r="134" spans="1:9">
      <c r="A134">
        <v>2606</v>
      </c>
      <c r="B134" t="s">
        <v>1692</v>
      </c>
      <c r="C134" t="s">
        <v>19</v>
      </c>
      <c r="D134">
        <v>270</v>
      </c>
      <c r="E134">
        <v>270</v>
      </c>
      <c r="F134">
        <v>0</v>
      </c>
      <c r="G134">
        <v>1</v>
      </c>
      <c r="H134">
        <v>1</v>
      </c>
      <c r="I134">
        <v>500</v>
      </c>
    </row>
    <row r="135" spans="1:9">
      <c r="A135">
        <v>2603</v>
      </c>
      <c r="B135" t="s">
        <v>1693</v>
      </c>
      <c r="C135" t="s">
        <v>19</v>
      </c>
      <c r="D135">
        <v>250</v>
      </c>
      <c r="E135">
        <v>250</v>
      </c>
      <c r="F135">
        <v>0</v>
      </c>
      <c r="G135">
        <v>1</v>
      </c>
      <c r="H135">
        <v>1</v>
      </c>
      <c r="I135">
        <v>450</v>
      </c>
    </row>
    <row r="136" spans="1:9">
      <c r="A136">
        <v>1767</v>
      </c>
      <c r="B136" t="s">
        <v>1694</v>
      </c>
      <c r="C136" t="s">
        <v>1577</v>
      </c>
      <c r="D136">
        <v>250</v>
      </c>
      <c r="E136">
        <v>250</v>
      </c>
      <c r="F136">
        <v>0</v>
      </c>
      <c r="G136">
        <v>3</v>
      </c>
      <c r="H136">
        <v>3</v>
      </c>
      <c r="I136">
        <v>450</v>
      </c>
    </row>
    <row r="137" spans="1:9">
      <c r="A137">
        <v>1764</v>
      </c>
      <c r="B137" t="s">
        <v>132</v>
      </c>
      <c r="C137" t="s">
        <v>1577</v>
      </c>
      <c r="D137">
        <v>250</v>
      </c>
      <c r="E137">
        <v>250</v>
      </c>
      <c r="F137">
        <v>0</v>
      </c>
      <c r="G137">
        <v>3</v>
      </c>
      <c r="H137">
        <v>3</v>
      </c>
      <c r="I137">
        <v>1000</v>
      </c>
    </row>
    <row r="138" spans="1:9">
      <c r="A138">
        <v>2604</v>
      </c>
      <c r="B138" t="s">
        <v>1695</v>
      </c>
      <c r="C138" t="s">
        <v>19</v>
      </c>
      <c r="D138">
        <v>250</v>
      </c>
      <c r="E138">
        <v>250</v>
      </c>
      <c r="F138">
        <v>0</v>
      </c>
      <c r="G138">
        <v>1</v>
      </c>
      <c r="H138">
        <v>1</v>
      </c>
      <c r="I138">
        <v>450</v>
      </c>
    </row>
    <row r="139" spans="1:9">
      <c r="A139">
        <v>596</v>
      </c>
      <c r="B139" t="s">
        <v>1696</v>
      </c>
      <c r="C139" t="s">
        <v>1575</v>
      </c>
      <c r="D139">
        <v>210</v>
      </c>
      <c r="E139">
        <v>210</v>
      </c>
      <c r="F139">
        <v>0</v>
      </c>
      <c r="G139">
        <v>2</v>
      </c>
      <c r="H139">
        <v>2</v>
      </c>
      <c r="I139">
        <v>1000</v>
      </c>
    </row>
    <row r="140" spans="1:9">
      <c r="A140">
        <v>598</v>
      </c>
      <c r="B140" t="s">
        <v>1697</v>
      </c>
      <c r="C140" t="s">
        <v>1659</v>
      </c>
      <c r="D140">
        <v>190</v>
      </c>
      <c r="E140">
        <v>190</v>
      </c>
      <c r="F140">
        <v>0</v>
      </c>
      <c r="G140">
        <v>6</v>
      </c>
      <c r="H140">
        <v>6</v>
      </c>
      <c r="I140">
        <v>300</v>
      </c>
    </row>
    <row r="141" spans="1:9">
      <c r="A141">
        <v>3095</v>
      </c>
      <c r="B141" t="s">
        <v>1698</v>
      </c>
      <c r="C141" t="s">
        <v>1620</v>
      </c>
      <c r="D141">
        <v>185</v>
      </c>
      <c r="E141">
        <v>185</v>
      </c>
      <c r="F141">
        <v>0</v>
      </c>
      <c r="G141">
        <v>3</v>
      </c>
      <c r="H141">
        <v>3</v>
      </c>
      <c r="I141">
        <v>870</v>
      </c>
    </row>
    <row r="142" spans="1:9">
      <c r="A142">
        <v>1726</v>
      </c>
      <c r="B142" t="s">
        <v>1699</v>
      </c>
      <c r="C142" t="s">
        <v>1577</v>
      </c>
      <c r="D142">
        <v>155</v>
      </c>
      <c r="E142">
        <v>155</v>
      </c>
      <c r="F142">
        <v>0</v>
      </c>
      <c r="G142">
        <v>3</v>
      </c>
      <c r="H142">
        <v>3</v>
      </c>
      <c r="I142">
        <v>500</v>
      </c>
    </row>
    <row r="143" spans="1:9">
      <c r="A143">
        <v>2597</v>
      </c>
      <c r="B143" t="s">
        <v>170</v>
      </c>
      <c r="C143" t="s">
        <v>19</v>
      </c>
      <c r="D143">
        <v>145</v>
      </c>
      <c r="E143">
        <v>145</v>
      </c>
      <c r="F143">
        <v>0</v>
      </c>
      <c r="G143">
        <v>1</v>
      </c>
      <c r="H143">
        <v>1</v>
      </c>
      <c r="I143">
        <v>450</v>
      </c>
    </row>
    <row r="144" spans="1:9">
      <c r="A144">
        <v>2596</v>
      </c>
      <c r="B144" t="s">
        <v>1700</v>
      </c>
      <c r="C144" t="s">
        <v>19</v>
      </c>
      <c r="D144">
        <v>140</v>
      </c>
      <c r="E144">
        <v>140</v>
      </c>
      <c r="F144">
        <v>0</v>
      </c>
      <c r="G144">
        <v>1</v>
      </c>
      <c r="H144">
        <v>1</v>
      </c>
      <c r="I144">
        <v>500</v>
      </c>
    </row>
    <row r="145" spans="1:9">
      <c r="A145">
        <v>1763</v>
      </c>
      <c r="B145" t="s">
        <v>132</v>
      </c>
      <c r="C145" t="s">
        <v>1577</v>
      </c>
      <c r="D145">
        <v>135</v>
      </c>
      <c r="E145">
        <v>135</v>
      </c>
      <c r="F145">
        <v>0</v>
      </c>
      <c r="G145">
        <v>3</v>
      </c>
      <c r="H145">
        <v>3</v>
      </c>
      <c r="I145">
        <v>500</v>
      </c>
    </row>
    <row r="146" spans="1:9">
      <c r="A146">
        <v>595</v>
      </c>
      <c r="B146" t="s">
        <v>125</v>
      </c>
      <c r="C146" t="s">
        <v>1575</v>
      </c>
      <c r="D146">
        <v>125</v>
      </c>
      <c r="E146">
        <v>125</v>
      </c>
      <c r="F146">
        <v>0</v>
      </c>
      <c r="G146">
        <v>2</v>
      </c>
      <c r="H146">
        <v>2</v>
      </c>
      <c r="I146">
        <v>1000</v>
      </c>
    </row>
    <row r="147" spans="1:9">
      <c r="A147">
        <v>3078</v>
      </c>
      <c r="B147" t="s">
        <v>1701</v>
      </c>
      <c r="C147" t="s">
        <v>1586</v>
      </c>
      <c r="D147">
        <v>123</v>
      </c>
      <c r="E147">
        <v>123</v>
      </c>
      <c r="F147">
        <v>0</v>
      </c>
      <c r="G147">
        <v>2</v>
      </c>
      <c r="H147">
        <v>2</v>
      </c>
      <c r="I147">
        <v>300</v>
      </c>
    </row>
    <row r="148" spans="1:9">
      <c r="A148">
        <v>556</v>
      </c>
      <c r="B148" t="s">
        <v>1702</v>
      </c>
      <c r="C148" t="s">
        <v>1575</v>
      </c>
      <c r="D148">
        <v>120</v>
      </c>
      <c r="E148">
        <v>120</v>
      </c>
      <c r="F148">
        <v>0</v>
      </c>
      <c r="G148">
        <v>2</v>
      </c>
      <c r="H148">
        <v>2</v>
      </c>
      <c r="I148">
        <v>1000</v>
      </c>
    </row>
    <row r="149" spans="1:9">
      <c r="A149">
        <v>607</v>
      </c>
      <c r="B149" t="s">
        <v>1703</v>
      </c>
      <c r="C149" t="s">
        <v>1575</v>
      </c>
      <c r="D149">
        <v>120</v>
      </c>
      <c r="E149">
        <v>120</v>
      </c>
      <c r="F149">
        <v>0</v>
      </c>
      <c r="G149">
        <v>2</v>
      </c>
      <c r="H149">
        <v>2</v>
      </c>
      <c r="I149">
        <v>1</v>
      </c>
    </row>
    <row r="150" spans="1:9">
      <c r="A150">
        <v>3618</v>
      </c>
      <c r="B150" t="s">
        <v>1704</v>
      </c>
      <c r="C150" t="s">
        <v>1705</v>
      </c>
      <c r="D150">
        <v>116</v>
      </c>
      <c r="E150">
        <v>116</v>
      </c>
      <c r="F150">
        <v>0</v>
      </c>
      <c r="G150">
        <v>2</v>
      </c>
      <c r="H150">
        <v>2</v>
      </c>
      <c r="I150">
        <v>250</v>
      </c>
    </row>
    <row r="151" spans="1:9">
      <c r="A151">
        <v>3096</v>
      </c>
      <c r="B151" t="s">
        <v>1706</v>
      </c>
      <c r="C151" t="s">
        <v>1586</v>
      </c>
      <c r="D151">
        <v>116</v>
      </c>
      <c r="E151">
        <v>116</v>
      </c>
      <c r="F151">
        <v>0</v>
      </c>
      <c r="G151">
        <v>2</v>
      </c>
      <c r="H151">
        <v>2</v>
      </c>
      <c r="I151">
        <v>400</v>
      </c>
    </row>
    <row r="152" spans="1:9">
      <c r="A152">
        <v>572</v>
      </c>
      <c r="B152" t="s">
        <v>1707</v>
      </c>
      <c r="C152" t="s">
        <v>1571</v>
      </c>
      <c r="D152">
        <v>107</v>
      </c>
      <c r="E152">
        <v>107</v>
      </c>
      <c r="F152">
        <v>0</v>
      </c>
      <c r="G152">
        <v>5</v>
      </c>
      <c r="H152">
        <v>5</v>
      </c>
      <c r="I152">
        <v>600</v>
      </c>
    </row>
    <row r="153" spans="1:9">
      <c r="A153">
        <v>602</v>
      </c>
      <c r="B153" t="s">
        <v>1708</v>
      </c>
      <c r="C153" t="s">
        <v>1575</v>
      </c>
      <c r="D153">
        <v>95</v>
      </c>
      <c r="E153">
        <v>95</v>
      </c>
      <c r="F153">
        <v>0</v>
      </c>
      <c r="G153">
        <v>2</v>
      </c>
      <c r="H153">
        <v>2</v>
      </c>
      <c r="I153">
        <v>250</v>
      </c>
    </row>
    <row r="154" spans="1:9">
      <c r="A154">
        <v>3085</v>
      </c>
      <c r="B154" t="s">
        <v>1709</v>
      </c>
      <c r="C154" t="s">
        <v>1620</v>
      </c>
      <c r="D154">
        <v>90</v>
      </c>
      <c r="E154">
        <v>90</v>
      </c>
      <c r="F154">
        <v>0</v>
      </c>
      <c r="G154">
        <v>3</v>
      </c>
      <c r="H154">
        <v>3</v>
      </c>
      <c r="I154">
        <v>406</v>
      </c>
    </row>
    <row r="155" spans="1:9">
      <c r="A155">
        <v>1239</v>
      </c>
      <c r="B155" t="s">
        <v>1710</v>
      </c>
      <c r="C155" t="s">
        <v>1569</v>
      </c>
      <c r="D155">
        <v>89</v>
      </c>
      <c r="E155">
        <v>89</v>
      </c>
      <c r="F155">
        <v>0</v>
      </c>
      <c r="G155">
        <v>2</v>
      </c>
      <c r="H155">
        <v>2</v>
      </c>
      <c r="I155">
        <v>1000</v>
      </c>
    </row>
    <row r="156" spans="1:9">
      <c r="A156">
        <v>3619</v>
      </c>
      <c r="B156" t="s">
        <v>1711</v>
      </c>
      <c r="C156" t="s">
        <v>27</v>
      </c>
      <c r="D156">
        <v>89</v>
      </c>
      <c r="E156">
        <v>89</v>
      </c>
      <c r="F156">
        <v>0</v>
      </c>
      <c r="G156">
        <v>1</v>
      </c>
      <c r="H156">
        <v>1</v>
      </c>
      <c r="I156">
        <v>60</v>
      </c>
    </row>
    <row r="157" spans="1:9">
      <c r="A157">
        <v>1765</v>
      </c>
      <c r="B157" t="s">
        <v>1712</v>
      </c>
      <c r="C157" t="s">
        <v>1577</v>
      </c>
      <c r="D157">
        <v>85</v>
      </c>
      <c r="E157">
        <v>85</v>
      </c>
      <c r="F157">
        <v>0</v>
      </c>
      <c r="G157">
        <v>3</v>
      </c>
      <c r="H157">
        <v>3</v>
      </c>
      <c r="I157">
        <v>400</v>
      </c>
    </row>
    <row r="158" spans="1:9">
      <c r="A158">
        <v>1235</v>
      </c>
      <c r="B158" t="s">
        <v>1713</v>
      </c>
      <c r="C158" t="s">
        <v>1580</v>
      </c>
      <c r="D158">
        <v>85</v>
      </c>
      <c r="E158">
        <v>85</v>
      </c>
      <c r="F158">
        <v>0</v>
      </c>
      <c r="G158">
        <v>5</v>
      </c>
      <c r="H158">
        <v>5</v>
      </c>
      <c r="I158">
        <v>200</v>
      </c>
    </row>
    <row r="159" spans="1:9">
      <c r="A159">
        <v>3087</v>
      </c>
      <c r="B159" t="s">
        <v>1714</v>
      </c>
      <c r="C159" t="s">
        <v>1586</v>
      </c>
      <c r="D159">
        <v>84</v>
      </c>
      <c r="E159">
        <v>84</v>
      </c>
      <c r="F159">
        <v>0</v>
      </c>
      <c r="G159">
        <v>2</v>
      </c>
      <c r="H159">
        <v>2</v>
      </c>
      <c r="I159">
        <v>400</v>
      </c>
    </row>
    <row r="160" spans="1:9">
      <c r="A160">
        <v>2739</v>
      </c>
      <c r="B160" t="s">
        <v>1715</v>
      </c>
      <c r="C160" t="s">
        <v>14</v>
      </c>
      <c r="D160">
        <v>80</v>
      </c>
      <c r="E160">
        <v>80</v>
      </c>
      <c r="F160">
        <v>0</v>
      </c>
      <c r="G160">
        <v>1</v>
      </c>
      <c r="H160">
        <v>1</v>
      </c>
      <c r="I160">
        <v>300</v>
      </c>
    </row>
    <row r="161" spans="1:9">
      <c r="A161">
        <v>1248</v>
      </c>
      <c r="B161" t="s">
        <v>1716</v>
      </c>
      <c r="C161" t="s">
        <v>1569</v>
      </c>
      <c r="D161">
        <v>80</v>
      </c>
      <c r="E161">
        <v>80</v>
      </c>
      <c r="F161">
        <v>0</v>
      </c>
      <c r="G161">
        <v>2</v>
      </c>
      <c r="H161">
        <v>2</v>
      </c>
      <c r="I161">
        <v>200</v>
      </c>
    </row>
    <row r="162" spans="1:9">
      <c r="A162">
        <v>2725</v>
      </c>
      <c r="B162" t="s">
        <v>1717</v>
      </c>
      <c r="C162" t="s">
        <v>14</v>
      </c>
      <c r="D162">
        <v>80</v>
      </c>
      <c r="E162">
        <v>80</v>
      </c>
      <c r="F162">
        <v>0</v>
      </c>
      <c r="G162">
        <v>1</v>
      </c>
      <c r="H162">
        <v>1</v>
      </c>
      <c r="I162">
        <v>600</v>
      </c>
    </row>
    <row r="163" spans="1:9">
      <c r="A163">
        <v>576</v>
      </c>
      <c r="B163" t="s">
        <v>1718</v>
      </c>
      <c r="C163" t="s">
        <v>1575</v>
      </c>
      <c r="D163">
        <v>79</v>
      </c>
      <c r="E163">
        <v>79</v>
      </c>
      <c r="F163">
        <v>0</v>
      </c>
      <c r="G163">
        <v>2</v>
      </c>
      <c r="H163">
        <v>2</v>
      </c>
      <c r="I163">
        <v>1000</v>
      </c>
    </row>
    <row r="164" spans="1:9">
      <c r="A164">
        <v>1766</v>
      </c>
      <c r="B164" t="s">
        <v>1719</v>
      </c>
      <c r="C164" t="s">
        <v>1577</v>
      </c>
      <c r="D164">
        <v>79</v>
      </c>
      <c r="E164">
        <v>79</v>
      </c>
      <c r="F164">
        <v>0</v>
      </c>
      <c r="G164">
        <v>3</v>
      </c>
      <c r="H164">
        <v>3</v>
      </c>
      <c r="I164">
        <v>250</v>
      </c>
    </row>
    <row r="165" spans="1:9">
      <c r="A165">
        <v>2732</v>
      </c>
      <c r="B165" t="s">
        <v>1720</v>
      </c>
      <c r="C165" t="s">
        <v>14</v>
      </c>
      <c r="D165">
        <v>75</v>
      </c>
      <c r="E165">
        <v>75</v>
      </c>
      <c r="F165">
        <v>0</v>
      </c>
      <c r="G165">
        <v>1</v>
      </c>
      <c r="H165">
        <v>1</v>
      </c>
      <c r="I165">
        <v>200</v>
      </c>
    </row>
    <row r="166" spans="1:9">
      <c r="A166">
        <v>563</v>
      </c>
      <c r="B166" t="s">
        <v>1721</v>
      </c>
      <c r="C166" t="s">
        <v>1575</v>
      </c>
      <c r="D166">
        <v>75</v>
      </c>
      <c r="E166">
        <v>75</v>
      </c>
      <c r="F166">
        <v>0</v>
      </c>
      <c r="G166">
        <v>2</v>
      </c>
      <c r="H166">
        <v>2</v>
      </c>
      <c r="I166">
        <v>1000</v>
      </c>
    </row>
    <row r="167" spans="1:9">
      <c r="A167">
        <v>1228</v>
      </c>
      <c r="B167" t="s">
        <v>1722</v>
      </c>
      <c r="C167" t="s">
        <v>1569</v>
      </c>
      <c r="D167">
        <v>75</v>
      </c>
      <c r="E167">
        <v>75</v>
      </c>
      <c r="F167">
        <v>0</v>
      </c>
      <c r="G167">
        <v>2</v>
      </c>
      <c r="H167">
        <v>2</v>
      </c>
      <c r="I167">
        <v>1000</v>
      </c>
    </row>
    <row r="168" spans="1:9">
      <c r="A168">
        <v>605</v>
      </c>
      <c r="B168" t="s">
        <v>1723</v>
      </c>
      <c r="C168" t="s">
        <v>1571</v>
      </c>
      <c r="D168">
        <v>72</v>
      </c>
      <c r="E168">
        <v>72</v>
      </c>
      <c r="F168">
        <v>0</v>
      </c>
      <c r="G168">
        <v>5</v>
      </c>
      <c r="H168">
        <v>5</v>
      </c>
      <c r="I168">
        <v>280</v>
      </c>
    </row>
    <row r="169" spans="1:9">
      <c r="A169">
        <v>2748</v>
      </c>
      <c r="B169" t="s">
        <v>169</v>
      </c>
      <c r="C169" t="s">
        <v>14</v>
      </c>
      <c r="D169">
        <v>70</v>
      </c>
      <c r="E169">
        <v>70</v>
      </c>
      <c r="F169">
        <v>0</v>
      </c>
      <c r="G169">
        <v>1</v>
      </c>
      <c r="H169">
        <v>1</v>
      </c>
      <c r="I169">
        <v>500</v>
      </c>
    </row>
    <row r="170" spans="1:9">
      <c r="A170">
        <v>2743</v>
      </c>
      <c r="B170" t="s">
        <v>1724</v>
      </c>
      <c r="C170" t="s">
        <v>14</v>
      </c>
      <c r="D170">
        <v>65</v>
      </c>
      <c r="E170">
        <v>65</v>
      </c>
      <c r="F170">
        <v>0</v>
      </c>
      <c r="G170">
        <v>1</v>
      </c>
      <c r="H170">
        <v>1</v>
      </c>
      <c r="I170">
        <v>200</v>
      </c>
    </row>
    <row r="171" spans="1:9">
      <c r="A171">
        <v>1238</v>
      </c>
      <c r="B171" t="s">
        <v>1725</v>
      </c>
      <c r="C171" t="s">
        <v>1569</v>
      </c>
      <c r="D171">
        <v>65</v>
      </c>
      <c r="E171">
        <v>65</v>
      </c>
      <c r="F171">
        <v>0</v>
      </c>
      <c r="G171">
        <v>2</v>
      </c>
      <c r="H171">
        <v>2</v>
      </c>
      <c r="I171">
        <v>400</v>
      </c>
    </row>
    <row r="172" spans="1:9">
      <c r="A172">
        <v>564</v>
      </c>
      <c r="B172" t="s">
        <v>1726</v>
      </c>
      <c r="C172" t="s">
        <v>1575</v>
      </c>
      <c r="D172">
        <v>64</v>
      </c>
      <c r="E172">
        <v>64</v>
      </c>
      <c r="F172">
        <v>0</v>
      </c>
      <c r="G172">
        <v>2</v>
      </c>
      <c r="H172">
        <v>2</v>
      </c>
      <c r="I172">
        <v>500</v>
      </c>
    </row>
    <row r="173" spans="1:9">
      <c r="A173">
        <v>545</v>
      </c>
      <c r="B173" t="s">
        <v>160</v>
      </c>
      <c r="C173" t="s">
        <v>1727</v>
      </c>
      <c r="D173">
        <v>63</v>
      </c>
      <c r="E173">
        <v>63</v>
      </c>
      <c r="F173">
        <v>0</v>
      </c>
      <c r="G173">
        <v>4</v>
      </c>
      <c r="H173">
        <v>4</v>
      </c>
      <c r="I173">
        <v>250</v>
      </c>
    </row>
    <row r="174" spans="1:9">
      <c r="A174">
        <v>1237</v>
      </c>
      <c r="B174" t="s">
        <v>172</v>
      </c>
      <c r="C174" t="s">
        <v>1582</v>
      </c>
      <c r="D174">
        <v>62</v>
      </c>
      <c r="E174">
        <v>62</v>
      </c>
      <c r="F174">
        <v>0</v>
      </c>
      <c r="G174">
        <v>3</v>
      </c>
      <c r="H174">
        <v>3</v>
      </c>
      <c r="I174">
        <v>696</v>
      </c>
    </row>
    <row r="175" spans="1:9">
      <c r="A175">
        <v>3731</v>
      </c>
      <c r="B175" t="s">
        <v>156</v>
      </c>
      <c r="C175" t="s">
        <v>21</v>
      </c>
      <c r="D175">
        <v>60</v>
      </c>
      <c r="E175">
        <v>60</v>
      </c>
      <c r="F175">
        <v>0</v>
      </c>
      <c r="G175">
        <v>1</v>
      </c>
      <c r="H175">
        <v>1</v>
      </c>
      <c r="I175">
        <v>50</v>
      </c>
    </row>
    <row r="176" spans="1:9">
      <c r="A176">
        <v>1762</v>
      </c>
      <c r="B176" t="s">
        <v>1728</v>
      </c>
      <c r="C176" t="s">
        <v>1577</v>
      </c>
      <c r="D176">
        <v>55</v>
      </c>
      <c r="E176">
        <v>55</v>
      </c>
      <c r="F176">
        <v>0</v>
      </c>
      <c r="G176">
        <v>3</v>
      </c>
      <c r="H176">
        <v>3</v>
      </c>
      <c r="I176">
        <v>190</v>
      </c>
    </row>
    <row r="177" spans="1:9">
      <c r="A177">
        <v>579</v>
      </c>
      <c r="B177" t="s">
        <v>1729</v>
      </c>
      <c r="C177" t="s">
        <v>1571</v>
      </c>
      <c r="D177">
        <v>50</v>
      </c>
      <c r="E177">
        <v>50</v>
      </c>
      <c r="F177">
        <v>0</v>
      </c>
      <c r="G177">
        <v>5</v>
      </c>
      <c r="H177">
        <v>5</v>
      </c>
      <c r="I177">
        <v>70</v>
      </c>
    </row>
    <row r="178" spans="1:9">
      <c r="A178">
        <v>2728</v>
      </c>
      <c r="B178" t="s">
        <v>1730</v>
      </c>
      <c r="C178" t="s">
        <v>14</v>
      </c>
      <c r="D178">
        <v>45</v>
      </c>
      <c r="E178">
        <v>45</v>
      </c>
      <c r="F178">
        <v>0</v>
      </c>
      <c r="G178">
        <v>1</v>
      </c>
      <c r="H178">
        <v>1</v>
      </c>
      <c r="I178">
        <v>300</v>
      </c>
    </row>
    <row r="179" spans="1:9">
      <c r="A179">
        <v>3628</v>
      </c>
      <c r="B179" t="s">
        <v>107</v>
      </c>
      <c r="C179" t="s">
        <v>27</v>
      </c>
      <c r="D179">
        <v>45</v>
      </c>
      <c r="E179">
        <v>45</v>
      </c>
      <c r="F179">
        <v>0</v>
      </c>
      <c r="G179">
        <v>1</v>
      </c>
      <c r="H179">
        <v>1</v>
      </c>
      <c r="I179">
        <v>600</v>
      </c>
    </row>
    <row r="180" spans="1:9">
      <c r="A180">
        <v>2720</v>
      </c>
      <c r="B180" t="s">
        <v>169</v>
      </c>
      <c r="C180" t="s">
        <v>14</v>
      </c>
      <c r="D180">
        <v>45</v>
      </c>
      <c r="E180">
        <v>45</v>
      </c>
      <c r="F180">
        <v>0</v>
      </c>
      <c r="G180">
        <v>1</v>
      </c>
      <c r="H180">
        <v>1</v>
      </c>
      <c r="I180">
        <v>200</v>
      </c>
    </row>
    <row r="181" spans="1:9">
      <c r="A181">
        <v>552</v>
      </c>
      <c r="B181" t="s">
        <v>1731</v>
      </c>
      <c r="C181" t="s">
        <v>1571</v>
      </c>
      <c r="D181">
        <v>44</v>
      </c>
      <c r="E181">
        <v>44</v>
      </c>
      <c r="F181">
        <v>0</v>
      </c>
      <c r="G181">
        <v>5</v>
      </c>
      <c r="H181">
        <v>5</v>
      </c>
      <c r="I181">
        <v>280</v>
      </c>
    </row>
    <row r="182" spans="1:9">
      <c r="A182">
        <v>585</v>
      </c>
      <c r="B182" t="s">
        <v>1732</v>
      </c>
      <c r="C182" t="s">
        <v>1575</v>
      </c>
      <c r="D182">
        <v>40</v>
      </c>
      <c r="E182">
        <v>40</v>
      </c>
      <c r="F182">
        <v>0</v>
      </c>
      <c r="G182">
        <v>2</v>
      </c>
      <c r="H182">
        <v>2</v>
      </c>
      <c r="I182">
        <v>500</v>
      </c>
    </row>
    <row r="183" spans="1:9">
      <c r="A183">
        <v>1234</v>
      </c>
      <c r="B183" t="s">
        <v>1733</v>
      </c>
      <c r="C183" t="s">
        <v>1569</v>
      </c>
      <c r="D183">
        <v>40</v>
      </c>
      <c r="E183">
        <v>40</v>
      </c>
      <c r="F183">
        <v>0</v>
      </c>
      <c r="G183">
        <v>2</v>
      </c>
      <c r="H183">
        <v>2</v>
      </c>
      <c r="I183">
        <v>200</v>
      </c>
    </row>
    <row r="184" spans="1:9">
      <c r="A184">
        <v>2752</v>
      </c>
      <c r="B184" t="s">
        <v>1734</v>
      </c>
      <c r="C184" t="s">
        <v>14</v>
      </c>
      <c r="D184">
        <v>40</v>
      </c>
      <c r="E184">
        <v>40</v>
      </c>
      <c r="F184">
        <v>0</v>
      </c>
      <c r="G184">
        <v>1</v>
      </c>
      <c r="H184">
        <v>1</v>
      </c>
      <c r="I184">
        <v>300</v>
      </c>
    </row>
    <row r="185" spans="1:9">
      <c r="A185">
        <v>1227</v>
      </c>
      <c r="B185" t="s">
        <v>1735</v>
      </c>
      <c r="C185" t="s">
        <v>1569</v>
      </c>
      <c r="D185">
        <v>40</v>
      </c>
      <c r="E185">
        <v>40</v>
      </c>
      <c r="F185">
        <v>0</v>
      </c>
      <c r="G185">
        <v>2</v>
      </c>
      <c r="H185">
        <v>2</v>
      </c>
      <c r="I185">
        <v>400</v>
      </c>
    </row>
    <row r="186" spans="1:9">
      <c r="A186">
        <v>2753</v>
      </c>
      <c r="B186" t="s">
        <v>1583</v>
      </c>
      <c r="C186" t="s">
        <v>14</v>
      </c>
      <c r="D186">
        <v>35</v>
      </c>
      <c r="E186">
        <v>35</v>
      </c>
      <c r="F186">
        <v>0</v>
      </c>
      <c r="G186">
        <v>1</v>
      </c>
      <c r="H186">
        <v>1</v>
      </c>
      <c r="I186">
        <v>150</v>
      </c>
    </row>
    <row r="187" spans="1:9">
      <c r="A187">
        <v>1233</v>
      </c>
      <c r="B187" t="s">
        <v>1736</v>
      </c>
      <c r="C187" t="s">
        <v>1569</v>
      </c>
      <c r="D187">
        <v>35</v>
      </c>
      <c r="E187">
        <v>35</v>
      </c>
      <c r="F187">
        <v>0</v>
      </c>
      <c r="G187">
        <v>2</v>
      </c>
      <c r="H187">
        <v>2</v>
      </c>
      <c r="I187">
        <v>300</v>
      </c>
    </row>
    <row r="188" spans="1:9">
      <c r="A188">
        <v>2738</v>
      </c>
      <c r="B188" t="s">
        <v>1737</v>
      </c>
      <c r="C188" t="s">
        <v>14</v>
      </c>
      <c r="D188">
        <v>35</v>
      </c>
      <c r="E188">
        <v>35</v>
      </c>
      <c r="F188">
        <v>0</v>
      </c>
      <c r="G188">
        <v>1</v>
      </c>
      <c r="H188">
        <v>1</v>
      </c>
      <c r="I188">
        <v>300</v>
      </c>
    </row>
    <row r="189" spans="1:9">
      <c r="A189">
        <v>588</v>
      </c>
      <c r="B189" t="s">
        <v>1738</v>
      </c>
      <c r="C189" t="s">
        <v>1575</v>
      </c>
      <c r="D189">
        <v>35</v>
      </c>
      <c r="E189">
        <v>35</v>
      </c>
      <c r="F189">
        <v>0</v>
      </c>
      <c r="G189">
        <v>2</v>
      </c>
      <c r="H189">
        <v>2</v>
      </c>
      <c r="I189">
        <v>100</v>
      </c>
    </row>
    <row r="190" spans="1:9">
      <c r="A190">
        <v>1245</v>
      </c>
      <c r="B190" t="s">
        <v>120</v>
      </c>
      <c r="C190" t="s">
        <v>1569</v>
      </c>
      <c r="D190">
        <v>30</v>
      </c>
      <c r="E190">
        <v>30</v>
      </c>
      <c r="F190">
        <v>0</v>
      </c>
      <c r="G190">
        <v>2</v>
      </c>
      <c r="H190">
        <v>2</v>
      </c>
      <c r="I190">
        <v>200</v>
      </c>
    </row>
    <row r="191" spans="1:9">
      <c r="A191">
        <v>2713</v>
      </c>
      <c r="B191" t="s">
        <v>1739</v>
      </c>
      <c r="C191" t="s">
        <v>14</v>
      </c>
      <c r="D191">
        <v>30</v>
      </c>
      <c r="E191">
        <v>30</v>
      </c>
      <c r="F191">
        <v>0</v>
      </c>
      <c r="G191">
        <v>1</v>
      </c>
      <c r="H191">
        <v>1</v>
      </c>
      <c r="I191">
        <v>250</v>
      </c>
    </row>
    <row r="192" spans="1:9">
      <c r="A192">
        <v>1236</v>
      </c>
      <c r="B192" t="s">
        <v>1740</v>
      </c>
      <c r="C192" t="s">
        <v>1569</v>
      </c>
      <c r="D192">
        <v>30</v>
      </c>
      <c r="E192">
        <v>30</v>
      </c>
      <c r="F192">
        <v>0</v>
      </c>
      <c r="G192">
        <v>2</v>
      </c>
      <c r="H192">
        <v>2</v>
      </c>
      <c r="I192">
        <v>250</v>
      </c>
    </row>
    <row r="193" spans="1:9">
      <c r="A193">
        <v>1231</v>
      </c>
      <c r="B193" t="s">
        <v>1741</v>
      </c>
      <c r="C193" t="s">
        <v>1569</v>
      </c>
      <c r="D193">
        <v>30</v>
      </c>
      <c r="E193">
        <v>30</v>
      </c>
      <c r="F193">
        <v>0</v>
      </c>
      <c r="G193">
        <v>2</v>
      </c>
      <c r="H193">
        <v>2</v>
      </c>
      <c r="I193">
        <v>150</v>
      </c>
    </row>
    <row r="194" spans="1:9">
      <c r="A194">
        <v>3635</v>
      </c>
      <c r="B194" t="s">
        <v>1361</v>
      </c>
      <c r="C194" t="s">
        <v>1705</v>
      </c>
      <c r="D194">
        <v>30</v>
      </c>
      <c r="E194">
        <v>30</v>
      </c>
      <c r="F194">
        <v>0</v>
      </c>
      <c r="G194">
        <v>2</v>
      </c>
      <c r="H194">
        <v>2</v>
      </c>
      <c r="I194">
        <v>60</v>
      </c>
    </row>
    <row r="195" spans="1:9">
      <c r="A195">
        <v>2724</v>
      </c>
      <c r="B195" t="s">
        <v>1742</v>
      </c>
      <c r="C195" t="s">
        <v>14</v>
      </c>
      <c r="D195">
        <v>28</v>
      </c>
      <c r="E195">
        <v>28</v>
      </c>
      <c r="F195">
        <v>0</v>
      </c>
      <c r="G195">
        <v>1</v>
      </c>
      <c r="H195">
        <v>1</v>
      </c>
      <c r="I195">
        <v>200</v>
      </c>
    </row>
    <row r="196" spans="1:9">
      <c r="A196">
        <v>2719</v>
      </c>
      <c r="B196" t="s">
        <v>1743</v>
      </c>
      <c r="C196" t="s">
        <v>14</v>
      </c>
      <c r="D196">
        <v>25</v>
      </c>
      <c r="E196">
        <v>25</v>
      </c>
      <c r="F196">
        <v>0</v>
      </c>
      <c r="G196">
        <v>1</v>
      </c>
      <c r="H196">
        <v>1</v>
      </c>
      <c r="I196">
        <v>150</v>
      </c>
    </row>
    <row r="197" spans="1:9">
      <c r="A197">
        <v>1753</v>
      </c>
      <c r="B197" t="s">
        <v>1744</v>
      </c>
      <c r="C197" t="s">
        <v>1577</v>
      </c>
      <c r="D197">
        <v>25</v>
      </c>
      <c r="E197">
        <v>25</v>
      </c>
      <c r="F197">
        <v>0</v>
      </c>
      <c r="G197">
        <v>3</v>
      </c>
      <c r="H197">
        <v>3</v>
      </c>
      <c r="I197">
        <v>60</v>
      </c>
    </row>
    <row r="198" spans="1:9">
      <c r="A198">
        <v>2716</v>
      </c>
      <c r="B198" t="s">
        <v>1745</v>
      </c>
      <c r="C198" t="s">
        <v>14</v>
      </c>
      <c r="D198">
        <v>25</v>
      </c>
      <c r="E198">
        <v>25</v>
      </c>
      <c r="F198">
        <v>0</v>
      </c>
      <c r="G198">
        <v>1</v>
      </c>
      <c r="H198">
        <v>1</v>
      </c>
      <c r="I198">
        <v>100</v>
      </c>
    </row>
    <row r="199" spans="1:9">
      <c r="A199">
        <v>2717</v>
      </c>
      <c r="B199" t="s">
        <v>1746</v>
      </c>
      <c r="C199" t="s">
        <v>14</v>
      </c>
      <c r="D199">
        <v>25</v>
      </c>
      <c r="E199">
        <v>25</v>
      </c>
      <c r="F199">
        <v>0</v>
      </c>
      <c r="G199">
        <v>1</v>
      </c>
      <c r="H199">
        <v>1</v>
      </c>
      <c r="I199">
        <v>75</v>
      </c>
    </row>
    <row r="200" spans="1:9">
      <c r="A200">
        <v>2741</v>
      </c>
      <c r="B200" t="s">
        <v>1747</v>
      </c>
      <c r="C200" t="s">
        <v>14</v>
      </c>
      <c r="D200">
        <v>25</v>
      </c>
      <c r="E200">
        <v>25</v>
      </c>
      <c r="F200">
        <v>0</v>
      </c>
      <c r="G200">
        <v>1</v>
      </c>
      <c r="H200">
        <v>1</v>
      </c>
      <c r="I200">
        <v>100</v>
      </c>
    </row>
    <row r="201" spans="1:9">
      <c r="A201">
        <v>3631</v>
      </c>
      <c r="B201" t="s">
        <v>1748</v>
      </c>
      <c r="C201" t="s">
        <v>27</v>
      </c>
      <c r="D201">
        <v>25</v>
      </c>
      <c r="E201">
        <v>25</v>
      </c>
      <c r="F201">
        <v>0</v>
      </c>
      <c r="G201">
        <v>1</v>
      </c>
      <c r="H201">
        <v>1</v>
      </c>
      <c r="I201">
        <v>75</v>
      </c>
    </row>
    <row r="202" spans="1:9">
      <c r="A202">
        <v>2723</v>
      </c>
      <c r="B202" t="s">
        <v>1749</v>
      </c>
      <c r="C202" t="s">
        <v>14</v>
      </c>
      <c r="D202">
        <v>25</v>
      </c>
      <c r="E202">
        <v>25</v>
      </c>
      <c r="F202">
        <v>0</v>
      </c>
      <c r="G202">
        <v>1</v>
      </c>
      <c r="H202">
        <v>1</v>
      </c>
      <c r="I202">
        <v>120</v>
      </c>
    </row>
    <row r="203" spans="1:9">
      <c r="A203">
        <v>1747</v>
      </c>
      <c r="B203" t="s">
        <v>1750</v>
      </c>
      <c r="C203" t="s">
        <v>1577</v>
      </c>
      <c r="D203">
        <v>24</v>
      </c>
      <c r="E203">
        <v>24</v>
      </c>
      <c r="F203">
        <v>0</v>
      </c>
      <c r="G203">
        <v>3</v>
      </c>
      <c r="H203">
        <v>3</v>
      </c>
      <c r="I203">
        <v>75</v>
      </c>
    </row>
    <row r="204" spans="1:9">
      <c r="A204">
        <v>1724</v>
      </c>
      <c r="B204" t="s">
        <v>1751</v>
      </c>
      <c r="C204" t="s">
        <v>1577</v>
      </c>
      <c r="D204">
        <v>20</v>
      </c>
      <c r="E204">
        <v>20</v>
      </c>
      <c r="F204">
        <v>0</v>
      </c>
      <c r="G204">
        <v>3</v>
      </c>
      <c r="H204">
        <v>3</v>
      </c>
      <c r="I204">
        <v>90</v>
      </c>
    </row>
    <row r="205" spans="1:9">
      <c r="A205">
        <v>2714</v>
      </c>
      <c r="B205" t="s">
        <v>90</v>
      </c>
      <c r="C205" t="s">
        <v>14</v>
      </c>
      <c r="D205">
        <v>20</v>
      </c>
      <c r="E205">
        <v>20</v>
      </c>
      <c r="F205">
        <v>0</v>
      </c>
      <c r="G205">
        <v>1</v>
      </c>
      <c r="H205">
        <v>1</v>
      </c>
      <c r="I205">
        <v>100</v>
      </c>
    </row>
    <row r="206" spans="1:9">
      <c r="A206">
        <v>580</v>
      </c>
      <c r="B206" t="s">
        <v>1752</v>
      </c>
      <c r="C206" t="s">
        <v>1575</v>
      </c>
      <c r="D206">
        <v>20</v>
      </c>
      <c r="E206">
        <v>20</v>
      </c>
      <c r="F206">
        <v>0</v>
      </c>
      <c r="G206">
        <v>2</v>
      </c>
      <c r="H206">
        <v>2</v>
      </c>
      <c r="I206">
        <v>100</v>
      </c>
    </row>
    <row r="207" spans="1:9">
      <c r="A207">
        <v>1243</v>
      </c>
      <c r="B207" t="s">
        <v>1753</v>
      </c>
      <c r="C207" t="s">
        <v>1569</v>
      </c>
      <c r="D207">
        <v>20</v>
      </c>
      <c r="E207">
        <v>20</v>
      </c>
      <c r="F207">
        <v>0</v>
      </c>
      <c r="G207">
        <v>2</v>
      </c>
      <c r="H207">
        <v>2</v>
      </c>
      <c r="I207">
        <v>100</v>
      </c>
    </row>
    <row r="208" spans="1:9">
      <c r="A208">
        <v>573</v>
      </c>
      <c r="B208" t="s">
        <v>1754</v>
      </c>
      <c r="C208" t="s">
        <v>1571</v>
      </c>
      <c r="D208">
        <v>15</v>
      </c>
      <c r="E208">
        <v>15</v>
      </c>
      <c r="F208">
        <v>0</v>
      </c>
      <c r="G208">
        <v>5</v>
      </c>
      <c r="H208">
        <v>5</v>
      </c>
      <c r="I208">
        <v>38</v>
      </c>
    </row>
    <row r="209" spans="1:9">
      <c r="A209">
        <v>2746</v>
      </c>
      <c r="B209" t="s">
        <v>1755</v>
      </c>
      <c r="C209" t="s">
        <v>14</v>
      </c>
      <c r="D209">
        <v>15</v>
      </c>
      <c r="E209">
        <v>15</v>
      </c>
      <c r="F209">
        <v>0</v>
      </c>
      <c r="G209">
        <v>1</v>
      </c>
      <c r="H209">
        <v>1</v>
      </c>
      <c r="I209">
        <v>45</v>
      </c>
    </row>
    <row r="210" spans="1:9">
      <c r="A210">
        <v>2740</v>
      </c>
      <c r="B210" t="s">
        <v>1756</v>
      </c>
      <c r="C210" t="s">
        <v>14</v>
      </c>
      <c r="D210">
        <v>15</v>
      </c>
      <c r="E210">
        <v>15</v>
      </c>
      <c r="F210">
        <v>0</v>
      </c>
      <c r="G210">
        <v>1</v>
      </c>
      <c r="H210">
        <v>1</v>
      </c>
      <c r="I210">
        <v>45</v>
      </c>
    </row>
    <row r="211" spans="1:9">
      <c r="A211">
        <v>2736</v>
      </c>
      <c r="B211" t="s">
        <v>1757</v>
      </c>
      <c r="C211" t="s">
        <v>14</v>
      </c>
      <c r="D211">
        <v>15</v>
      </c>
      <c r="E211">
        <v>15</v>
      </c>
      <c r="F211">
        <v>0</v>
      </c>
      <c r="G211">
        <v>1</v>
      </c>
      <c r="H211">
        <v>1</v>
      </c>
      <c r="I211">
        <v>45</v>
      </c>
    </row>
    <row r="212" spans="1:9">
      <c r="A212">
        <v>2712</v>
      </c>
      <c r="B212" t="s">
        <v>1758</v>
      </c>
      <c r="C212" t="s">
        <v>14</v>
      </c>
      <c r="D212">
        <v>10</v>
      </c>
      <c r="E212">
        <v>10</v>
      </c>
      <c r="F212">
        <v>0</v>
      </c>
      <c r="G212">
        <v>1</v>
      </c>
      <c r="H212">
        <v>1</v>
      </c>
      <c r="I212">
        <v>75</v>
      </c>
    </row>
    <row r="213" spans="1:9">
      <c r="A213">
        <v>2734</v>
      </c>
      <c r="B213" t="s">
        <v>1759</v>
      </c>
      <c r="C213" t="s">
        <v>14</v>
      </c>
      <c r="D213">
        <v>10</v>
      </c>
      <c r="E213">
        <v>10</v>
      </c>
      <c r="F213">
        <v>0</v>
      </c>
      <c r="G213">
        <v>1</v>
      </c>
      <c r="H213">
        <v>1</v>
      </c>
      <c r="I213">
        <v>60</v>
      </c>
    </row>
    <row r="214" spans="1:9">
      <c r="A214">
        <v>2726</v>
      </c>
      <c r="B214" t="s">
        <v>922</v>
      </c>
      <c r="C214" t="s">
        <v>14</v>
      </c>
      <c r="D214">
        <v>10</v>
      </c>
      <c r="E214">
        <v>10</v>
      </c>
      <c r="F214">
        <v>0</v>
      </c>
      <c r="G214">
        <v>1</v>
      </c>
      <c r="H214">
        <v>1</v>
      </c>
      <c r="I214">
        <v>46</v>
      </c>
    </row>
    <row r="215" spans="1:9">
      <c r="A215">
        <v>2735</v>
      </c>
      <c r="B215" t="s">
        <v>1760</v>
      </c>
      <c r="C215" t="s">
        <v>14</v>
      </c>
      <c r="D215">
        <v>10</v>
      </c>
      <c r="E215">
        <v>10</v>
      </c>
      <c r="F215">
        <v>0</v>
      </c>
      <c r="G215">
        <v>1</v>
      </c>
      <c r="H215">
        <v>1</v>
      </c>
      <c r="I215">
        <v>28</v>
      </c>
    </row>
    <row r="216" spans="1:9">
      <c r="A216">
        <v>2747</v>
      </c>
      <c r="B216" t="s">
        <v>1761</v>
      </c>
      <c r="C216" t="s">
        <v>14</v>
      </c>
      <c r="D216">
        <v>10</v>
      </c>
      <c r="E216">
        <v>10</v>
      </c>
      <c r="F216">
        <v>0</v>
      </c>
      <c r="G216">
        <v>1</v>
      </c>
      <c r="H216">
        <v>1</v>
      </c>
      <c r="I216">
        <v>28</v>
      </c>
    </row>
    <row r="217" spans="1:9">
      <c r="A217">
        <v>3622</v>
      </c>
      <c r="B217" t="s">
        <v>1762</v>
      </c>
      <c r="C217" t="s">
        <v>27</v>
      </c>
      <c r="D217">
        <v>10</v>
      </c>
      <c r="E217">
        <v>10</v>
      </c>
      <c r="F217">
        <v>0</v>
      </c>
      <c r="G217">
        <v>1</v>
      </c>
      <c r="H217">
        <v>1</v>
      </c>
      <c r="I217">
        <v>140</v>
      </c>
    </row>
    <row r="218" spans="1:9">
      <c r="A218">
        <v>568</v>
      </c>
      <c r="B218" t="s">
        <v>1763</v>
      </c>
      <c r="C218" t="s">
        <v>1571</v>
      </c>
      <c r="D218">
        <v>10</v>
      </c>
      <c r="E218">
        <v>10</v>
      </c>
      <c r="F218">
        <v>0</v>
      </c>
      <c r="G218">
        <v>5</v>
      </c>
      <c r="H218">
        <v>5</v>
      </c>
      <c r="I218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AC27-BCE3-4598-A0D6-0A91CC23753D}">
  <dimension ref="B1:S40"/>
  <sheetViews>
    <sheetView showGridLines="0" zoomScale="65" zoomScaleNormal="65" workbookViewId="0">
      <selection activeCell="A4" sqref="A4"/>
    </sheetView>
  </sheetViews>
  <sheetFormatPr defaultRowHeight="14.25"/>
  <cols>
    <col min="1" max="1" width="9.06640625" style="5"/>
    <col min="2" max="13" width="12.59765625" style="5" customWidth="1"/>
    <col min="14" max="15" width="9.06640625" style="5"/>
    <col min="16" max="16" width="47.1328125" style="5" customWidth="1"/>
    <col min="17" max="17" width="9.06640625" style="5"/>
    <col min="18" max="18" width="10.796875" style="5" customWidth="1"/>
    <col min="19" max="19" width="10.46484375" style="5" customWidth="1"/>
    <col min="20" max="16384" width="9.06640625" style="5"/>
  </cols>
  <sheetData>
    <row r="1" spans="2:19" ht="30.4">
      <c r="B1" s="7" t="s">
        <v>1780</v>
      </c>
      <c r="C1" s="8"/>
      <c r="D1" s="8"/>
      <c r="E1" s="8"/>
      <c r="F1" s="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4.65" thickBot="1">
      <c r="B2" s="8" t="s">
        <v>1781</v>
      </c>
      <c r="C2" s="8"/>
      <c r="D2" s="8"/>
      <c r="E2" s="8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4.65" thickBot="1">
      <c r="B3" s="13" t="s">
        <v>1782</v>
      </c>
      <c r="C3" s="14"/>
      <c r="D3" s="15"/>
      <c r="E3" s="13" t="s">
        <v>1783</v>
      </c>
      <c r="F3" s="14"/>
      <c r="G3" s="15"/>
      <c r="H3" s="13" t="s">
        <v>1784</v>
      </c>
      <c r="I3" s="14"/>
      <c r="J3" s="15"/>
      <c r="K3" s="13" t="s">
        <v>1785</v>
      </c>
      <c r="L3" s="14"/>
      <c r="M3" s="15"/>
      <c r="N3" s="4"/>
      <c r="O3" s="4"/>
      <c r="P3" s="4"/>
      <c r="Q3" s="4"/>
      <c r="R3" s="4"/>
      <c r="S3" s="4"/>
    </row>
    <row r="4" spans="2:19" ht="35.65" thickBot="1">
      <c r="B4" s="17">
        <f>INDEX(tblQ01a[total_listings],1)</f>
        <v>3729</v>
      </c>
      <c r="C4" s="18"/>
      <c r="D4" s="19"/>
      <c r="E4" s="17">
        <f>INDEX(tblQ01a[unique_products],1)</f>
        <v>1800</v>
      </c>
      <c r="F4" s="18"/>
      <c r="G4" s="19"/>
      <c r="H4" s="20">
        <f>SUM(tblQ02[oos_listings])/SUM(tblQ02[listings])</f>
        <v>0.12148028962188254</v>
      </c>
      <c r="I4" s="21"/>
      <c r="J4" s="22"/>
      <c r="K4" s="23">
        <f>SUMIFS(tblQ09c[pct_of_value],tblQ09c[abc_class],"A")/100</f>
        <v>0.7</v>
      </c>
      <c r="L4" s="24"/>
      <c r="M4" s="25"/>
      <c r="N4" s="8"/>
      <c r="O4" s="8" t="str">
        <f>"Current weights: "&amp;TEXT(Restock_Model!B3,"0%")&amp;" discount, "&amp;TEXT(Restock_Model!B4,"0%")&amp;" price, "&amp;TEXT(Restock_Model!B5,"0%")&amp;" visibility"</f>
        <v>Current weights: 40% discount, 30% price, 30% visibility</v>
      </c>
      <c r="P4" s="8"/>
      <c r="Q4" s="8"/>
      <c r="R4" s="8"/>
      <c r="S4" s="8"/>
    </row>
    <row r="5" spans="2:19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8"/>
      <c r="O5" s="9" t="s">
        <v>1786</v>
      </c>
      <c r="P5" s="8"/>
      <c r="Q5" s="8"/>
      <c r="R5" s="8"/>
      <c r="S5" s="8"/>
    </row>
    <row r="6" spans="2:19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 t="str">
        <f>'Top20'!A1</f>
        <v>Rank</v>
      </c>
      <c r="P6" s="9" t="str">
        <f>'Top20'!B1</f>
        <v>Product</v>
      </c>
      <c r="Q6" s="9" t="str">
        <f>'Top20'!C1</f>
        <v>Price</v>
      </c>
      <c r="R6" s="9" t="str">
        <f>'Top20'!D1</f>
        <v>Discount%</v>
      </c>
      <c r="S6" s="9" t="str">
        <f>'Top20'!E1</f>
        <v>Score</v>
      </c>
    </row>
    <row r="7" spans="2:19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>
        <f>'Top20'!A2</f>
        <v>1</v>
      </c>
      <c r="P7" s="8" t="str">
        <f>'Top20'!B2</f>
        <v>Chef's Basket Durum Wheat Penne Pasta</v>
      </c>
      <c r="Q7" s="10">
        <f>'Top20'!C2</f>
        <v>80</v>
      </c>
      <c r="R7" s="8">
        <f>'Top20'!D2</f>
        <v>50</v>
      </c>
      <c r="S7" s="11">
        <f>'Top20'!E2</f>
        <v>0.67830935251798563</v>
      </c>
    </row>
    <row r="8" spans="2:19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>
        <f>'Top20'!A3</f>
        <v>2</v>
      </c>
      <c r="P8" s="8" t="str">
        <f>'Top20'!B3</f>
        <v>RRO Mozzarella Block Cheese</v>
      </c>
      <c r="Q8" s="10">
        <f>'Top20'!C3</f>
        <v>147</v>
      </c>
      <c r="R8" s="8">
        <f>'Top20'!D3</f>
        <v>50</v>
      </c>
      <c r="S8" s="11">
        <f>'Top20'!E3</f>
        <v>0.53446043165467627</v>
      </c>
    </row>
    <row r="9" spans="2:19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>
        <f>'Top20'!A4</f>
        <v>3</v>
      </c>
      <c r="P9" s="8" t="str">
        <f>'Top20'!B4</f>
        <v>The Whole Truth Peanut Butter - Unsweetened &amp; Crunchy</v>
      </c>
      <c r="Q9" s="10">
        <f>'Top20'!C4</f>
        <v>148</v>
      </c>
      <c r="R9" s="8">
        <f>'Top20'!D4</f>
        <v>20</v>
      </c>
      <c r="S9" s="11">
        <f>'Top20'!E4</f>
        <v>0.47500000000000003</v>
      </c>
    </row>
    <row r="10" spans="2:19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>
        <f>'Top20'!A5</f>
        <v>4</v>
      </c>
      <c r="P10" s="8" t="str">
        <f>'Top20'!B5</f>
        <v>Dukes Waffy Chocolate Wafer Rolls</v>
      </c>
      <c r="Q10" s="10">
        <f>'Top20'!C5</f>
        <v>75</v>
      </c>
      <c r="R10" s="8">
        <f>'Top20'!D5</f>
        <v>50</v>
      </c>
      <c r="S10" s="11">
        <f>'Top20'!E5</f>
        <v>0.43561151079136695</v>
      </c>
    </row>
    <row r="11" spans="2:19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>
        <f>'Top20'!A6</f>
        <v>5</v>
      </c>
      <c r="P11" s="8" t="str">
        <f>'Top20'!B6</f>
        <v>Sugarlite 50% Less Calories Sugar Pouch</v>
      </c>
      <c r="Q11" s="10">
        <f>'Top20'!C6</f>
        <v>59</v>
      </c>
      <c r="R11" s="8">
        <f>'Top20'!D6</f>
        <v>40</v>
      </c>
      <c r="S11" s="11">
        <f>'Top20'!E6</f>
        <v>0.40697841726618711</v>
      </c>
    </row>
    <row r="12" spans="2:19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>
        <f>'Top20'!A7</f>
        <v>6</v>
      </c>
      <c r="P12" s="8" t="str">
        <f>'Top20'!B7</f>
        <v>Epigamia Fruit Yogurt Strawberry</v>
      </c>
      <c r="Q12" s="10">
        <f>'Top20'!C7</f>
        <v>20</v>
      </c>
      <c r="R12" s="8">
        <f>'Top20'!D7</f>
        <v>50</v>
      </c>
      <c r="S12" s="11">
        <f>'Top20'!E7</f>
        <v>0.40593525179856116</v>
      </c>
    </row>
    <row r="13" spans="2:19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>
        <f>'Top20'!A8</f>
        <v>7</v>
      </c>
      <c r="P13" s="8" t="str">
        <f>'Top20'!B8</f>
        <v>Godrej Yummiez Chicken Breakfast Salami</v>
      </c>
      <c r="Q13" s="10">
        <f>'Top20'!C8</f>
        <v>143</v>
      </c>
      <c r="R13" s="8">
        <f>'Top20'!D8</f>
        <v>4</v>
      </c>
      <c r="S13" s="11">
        <f>'Top20'!E8</f>
        <v>0.40430215827338128</v>
      </c>
    </row>
    <row r="14" spans="2:19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>
        <f>'Top20'!A9</f>
        <v>8</v>
      </c>
      <c r="P14" s="8" t="str">
        <f>'Top20'!B9</f>
        <v>Zorabian Chicken Kheema Parathas</v>
      </c>
      <c r="Q14" s="10">
        <f>'Top20'!C9</f>
        <v>190</v>
      </c>
      <c r="R14" s="8">
        <f>'Top20'!D9</f>
        <v>0</v>
      </c>
      <c r="S14" s="11">
        <f>'Top20'!E9</f>
        <v>0.39766187050359708</v>
      </c>
    </row>
    <row r="15" spans="2:19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>
        <f>'Top20'!A10</f>
        <v>9</v>
      </c>
      <c r="P15" s="8" t="str">
        <f>'Top20'!B10</f>
        <v>Sunfeast Pasta Treat Pack of Tomato Cheese</v>
      </c>
      <c r="Q15" s="10">
        <f>'Top20'!C10</f>
        <v>23</v>
      </c>
      <c r="R15" s="8">
        <f>'Top20'!D10</f>
        <v>17</v>
      </c>
      <c r="S15" s="11">
        <f>'Top20'!E10</f>
        <v>0.38355395683453236</v>
      </c>
    </row>
    <row r="16" spans="2:19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>
        <f>'Top20'!A11</f>
        <v>10</v>
      </c>
      <c r="P16" s="8" t="str">
        <f>'Top20'!B11</f>
        <v>Patanjali Cow's Ghee</v>
      </c>
      <c r="Q16" s="10">
        <f>'Top20'!C11</f>
        <v>565</v>
      </c>
      <c r="R16" s="8">
        <f>'Top20'!D11</f>
        <v>0</v>
      </c>
      <c r="S16" s="11">
        <f>'Top20'!E11</f>
        <v>0.36</v>
      </c>
    </row>
    <row r="17" spans="2:19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2:19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2: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2:19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2:19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2:19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2:19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2:19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2:19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2:19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2:19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2:19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2:19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2:19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2:19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2:19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2:19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2:19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2:19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2:19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2:19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2:19" s="6" customFormat="1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2:19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2:19">
      <c r="B40" s="12" t="s">
        <v>1787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</sheetData>
  <mergeCells count="7">
    <mergeCell ref="K3:M3"/>
    <mergeCell ref="B3:D3"/>
    <mergeCell ref="B4:D4"/>
    <mergeCell ref="E3:G3"/>
    <mergeCell ref="E4:G4"/>
    <mergeCell ref="H3:J3"/>
    <mergeCell ref="H4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353E-AE07-4DE1-BE53-8BFD82D242C6}">
  <dimension ref="A1:E4"/>
  <sheetViews>
    <sheetView workbookViewId="0">
      <selection activeCell="B19" sqref="B19"/>
    </sheetView>
  </sheetViews>
  <sheetFormatPr defaultRowHeight="14.25"/>
  <cols>
    <col min="1" max="1" width="10.73046875" bestFit="1" customWidth="1"/>
    <col min="2" max="2" width="10" bestFit="1" customWidth="1"/>
    <col min="3" max="3" width="15.796875" bestFit="1" customWidth="1"/>
    <col min="4" max="4" width="12.3984375" bestFit="1" customWidth="1"/>
    <col min="5" max="5" width="13" bestFit="1" customWidth="1"/>
  </cols>
  <sheetData>
    <row r="1" spans="1:5">
      <c r="A1" t="s">
        <v>183</v>
      </c>
      <c r="B1" t="s">
        <v>32</v>
      </c>
      <c r="C1" t="s">
        <v>33</v>
      </c>
      <c r="D1" t="s">
        <v>180</v>
      </c>
      <c r="E1" t="s">
        <v>1563</v>
      </c>
    </row>
    <row r="2" spans="1:5">
      <c r="A2" t="s">
        <v>184</v>
      </c>
      <c r="B2">
        <v>531</v>
      </c>
      <c r="C2">
        <v>33.5</v>
      </c>
      <c r="D2">
        <v>740536</v>
      </c>
      <c r="E2">
        <v>70</v>
      </c>
    </row>
    <row r="3" spans="1:5">
      <c r="A3" t="s">
        <v>631</v>
      </c>
      <c r="B3">
        <v>428</v>
      </c>
      <c r="C3">
        <v>27</v>
      </c>
      <c r="D3">
        <v>211759.6</v>
      </c>
      <c r="E3">
        <v>20</v>
      </c>
    </row>
    <row r="4" spans="1:5">
      <c r="A4" t="s">
        <v>1014</v>
      </c>
      <c r="B4">
        <v>624</v>
      </c>
      <c r="C4">
        <v>39.4</v>
      </c>
      <c r="D4">
        <v>106158</v>
      </c>
      <c r="E4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84E8-7C63-4C11-9851-94EEBFDE0B48}">
  <dimension ref="A1:H1584"/>
  <sheetViews>
    <sheetView topLeftCell="B79" workbookViewId="0">
      <selection activeCell="G2" activeCellId="1" sqref="E2:E101 G2:G101"/>
    </sheetView>
  </sheetViews>
  <sheetFormatPr defaultRowHeight="14.25"/>
  <cols>
    <col min="1" max="1" width="11.3984375" bestFit="1" customWidth="1"/>
    <col min="2" max="2" width="74.6640625" bestFit="1" customWidth="1"/>
    <col min="3" max="3" width="13.06640625" bestFit="1" customWidth="1"/>
    <col min="4" max="4" width="17.46484375" bestFit="1" customWidth="1"/>
    <col min="5" max="5" width="12.3984375" bestFit="1" customWidth="1"/>
    <col min="6" max="6" width="11.59765625" bestFit="1" customWidth="1"/>
    <col min="7" max="7" width="15.19921875" bestFit="1" customWidth="1"/>
    <col min="8" max="8" width="10.73046875" bestFit="1" customWidth="1"/>
  </cols>
  <sheetData>
    <row r="1" spans="1:8">
      <c r="A1" t="s">
        <v>178</v>
      </c>
      <c r="B1" t="s">
        <v>48</v>
      </c>
      <c r="C1" t="s">
        <v>50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>
      <c r="A2">
        <v>518</v>
      </c>
      <c r="B2" t="s">
        <v>56</v>
      </c>
      <c r="C2">
        <v>1399</v>
      </c>
      <c r="D2">
        <v>6</v>
      </c>
      <c r="E2">
        <v>8394</v>
      </c>
      <c r="F2">
        <v>1</v>
      </c>
      <c r="G2">
        <v>0.8</v>
      </c>
      <c r="H2" t="s">
        <v>184</v>
      </c>
    </row>
    <row r="3" spans="1:8">
      <c r="A3">
        <v>364</v>
      </c>
      <c r="B3" t="s">
        <v>67</v>
      </c>
      <c r="C3">
        <v>1305</v>
      </c>
      <c r="D3">
        <v>6</v>
      </c>
      <c r="E3">
        <v>7830</v>
      </c>
      <c r="F3">
        <v>2</v>
      </c>
      <c r="G3">
        <v>1.5</v>
      </c>
      <c r="H3" t="s">
        <v>184</v>
      </c>
    </row>
    <row r="4" spans="1:8">
      <c r="A4">
        <v>145</v>
      </c>
      <c r="B4" t="s">
        <v>185</v>
      </c>
      <c r="C4">
        <v>1240</v>
      </c>
      <c r="D4">
        <v>6</v>
      </c>
      <c r="E4">
        <v>7440</v>
      </c>
      <c r="F4">
        <v>3</v>
      </c>
      <c r="G4">
        <v>2.2000000000000002</v>
      </c>
      <c r="H4" t="s">
        <v>184</v>
      </c>
    </row>
    <row r="5" spans="1:8">
      <c r="A5">
        <v>122</v>
      </c>
      <c r="B5" t="s">
        <v>186</v>
      </c>
      <c r="C5">
        <v>1143</v>
      </c>
      <c r="D5">
        <v>6</v>
      </c>
      <c r="E5">
        <v>6858</v>
      </c>
      <c r="F5">
        <v>4</v>
      </c>
      <c r="G5">
        <v>2.9</v>
      </c>
      <c r="H5" t="s">
        <v>184</v>
      </c>
    </row>
    <row r="6" spans="1:8">
      <c r="A6">
        <v>147</v>
      </c>
      <c r="B6" t="s">
        <v>187</v>
      </c>
      <c r="C6">
        <v>1039</v>
      </c>
      <c r="D6">
        <v>6</v>
      </c>
      <c r="E6">
        <v>6234</v>
      </c>
      <c r="F6">
        <v>5</v>
      </c>
      <c r="G6">
        <v>3.5</v>
      </c>
      <c r="H6" t="s">
        <v>184</v>
      </c>
    </row>
    <row r="7" spans="1:8">
      <c r="A7">
        <v>225</v>
      </c>
      <c r="B7" t="s">
        <v>188</v>
      </c>
      <c r="C7">
        <v>1035</v>
      </c>
      <c r="D7">
        <v>6</v>
      </c>
      <c r="E7">
        <v>6210</v>
      </c>
      <c r="F7">
        <v>6</v>
      </c>
      <c r="G7">
        <v>4.0999999999999996</v>
      </c>
      <c r="H7" t="s">
        <v>184</v>
      </c>
    </row>
    <row r="8" spans="1:8">
      <c r="A8">
        <v>115</v>
      </c>
      <c r="B8" t="s">
        <v>97</v>
      </c>
      <c r="C8">
        <v>999</v>
      </c>
      <c r="D8">
        <v>6</v>
      </c>
      <c r="E8">
        <v>5994</v>
      </c>
      <c r="F8">
        <v>7</v>
      </c>
      <c r="G8">
        <v>4.5999999999999996</v>
      </c>
      <c r="H8" t="s">
        <v>184</v>
      </c>
    </row>
    <row r="9" spans="1:8">
      <c r="A9">
        <v>119</v>
      </c>
      <c r="B9" t="s">
        <v>61</v>
      </c>
      <c r="C9">
        <v>984</v>
      </c>
      <c r="D9">
        <v>6</v>
      </c>
      <c r="E9">
        <v>5904</v>
      </c>
      <c r="F9">
        <v>8</v>
      </c>
      <c r="G9">
        <v>5.2</v>
      </c>
      <c r="H9" t="s">
        <v>184</v>
      </c>
    </row>
    <row r="10" spans="1:8">
      <c r="A10">
        <v>105</v>
      </c>
      <c r="B10" t="s">
        <v>189</v>
      </c>
      <c r="C10">
        <v>925</v>
      </c>
      <c r="D10">
        <v>6</v>
      </c>
      <c r="E10">
        <v>5550</v>
      </c>
      <c r="F10">
        <v>9</v>
      </c>
      <c r="G10">
        <v>5.7</v>
      </c>
      <c r="H10" t="s">
        <v>184</v>
      </c>
    </row>
    <row r="11" spans="1:8">
      <c r="A11">
        <v>2997</v>
      </c>
      <c r="B11" t="s">
        <v>63</v>
      </c>
      <c r="C11">
        <v>899</v>
      </c>
      <c r="D11">
        <v>6</v>
      </c>
      <c r="E11">
        <v>5394</v>
      </c>
      <c r="F11">
        <v>10</v>
      </c>
      <c r="G11">
        <v>6.2</v>
      </c>
      <c r="H11" t="s">
        <v>184</v>
      </c>
    </row>
    <row r="12" spans="1:8">
      <c r="A12">
        <v>3539</v>
      </c>
      <c r="B12" t="s">
        <v>79</v>
      </c>
      <c r="C12">
        <v>680</v>
      </c>
      <c r="D12">
        <v>6</v>
      </c>
      <c r="E12">
        <v>4080</v>
      </c>
      <c r="F12">
        <v>11</v>
      </c>
      <c r="G12">
        <v>6.6</v>
      </c>
      <c r="H12" t="s">
        <v>184</v>
      </c>
    </row>
    <row r="13" spans="1:8">
      <c r="A13">
        <v>1512</v>
      </c>
      <c r="B13" t="s">
        <v>190</v>
      </c>
      <c r="C13">
        <v>650</v>
      </c>
      <c r="D13">
        <v>6</v>
      </c>
      <c r="E13">
        <v>3900</v>
      </c>
      <c r="F13">
        <v>12</v>
      </c>
      <c r="G13">
        <v>7</v>
      </c>
      <c r="H13" t="s">
        <v>184</v>
      </c>
    </row>
    <row r="14" spans="1:8">
      <c r="A14">
        <v>2858</v>
      </c>
      <c r="B14" t="s">
        <v>191</v>
      </c>
      <c r="C14">
        <v>620</v>
      </c>
      <c r="D14">
        <v>6</v>
      </c>
      <c r="E14">
        <v>3720</v>
      </c>
      <c r="F14">
        <v>13</v>
      </c>
      <c r="G14">
        <v>7.3</v>
      </c>
      <c r="H14" t="s">
        <v>184</v>
      </c>
    </row>
    <row r="15" spans="1:8">
      <c r="A15">
        <v>2910</v>
      </c>
      <c r="B15" t="s">
        <v>192</v>
      </c>
      <c r="C15">
        <v>620</v>
      </c>
      <c r="D15">
        <v>6</v>
      </c>
      <c r="E15">
        <v>3720</v>
      </c>
      <c r="F15">
        <v>14</v>
      </c>
      <c r="G15">
        <v>7.7</v>
      </c>
      <c r="H15" t="s">
        <v>184</v>
      </c>
    </row>
    <row r="16" spans="1:8">
      <c r="A16">
        <v>3556</v>
      </c>
      <c r="B16" t="s">
        <v>134</v>
      </c>
      <c r="C16">
        <v>598</v>
      </c>
      <c r="D16">
        <v>6</v>
      </c>
      <c r="E16">
        <v>3588</v>
      </c>
      <c r="F16">
        <v>15</v>
      </c>
      <c r="G16">
        <v>8</v>
      </c>
      <c r="H16" t="s">
        <v>184</v>
      </c>
    </row>
    <row r="17" spans="1:8">
      <c r="A17">
        <v>3600</v>
      </c>
      <c r="B17" t="s">
        <v>80</v>
      </c>
      <c r="C17">
        <v>581</v>
      </c>
      <c r="D17">
        <v>6</v>
      </c>
      <c r="E17">
        <v>3486</v>
      </c>
      <c r="F17">
        <v>16</v>
      </c>
      <c r="G17">
        <v>8.3000000000000007</v>
      </c>
      <c r="H17" t="s">
        <v>184</v>
      </c>
    </row>
    <row r="18" spans="1:8">
      <c r="A18">
        <v>131</v>
      </c>
      <c r="B18" t="s">
        <v>193</v>
      </c>
      <c r="C18">
        <v>579</v>
      </c>
      <c r="D18">
        <v>6</v>
      </c>
      <c r="E18">
        <v>3474</v>
      </c>
      <c r="F18">
        <v>17</v>
      </c>
      <c r="G18">
        <v>8.6999999999999993</v>
      </c>
      <c r="H18" t="s">
        <v>184</v>
      </c>
    </row>
    <row r="19" spans="1:8">
      <c r="A19">
        <v>3038</v>
      </c>
      <c r="B19" t="s">
        <v>194</v>
      </c>
      <c r="C19">
        <v>578</v>
      </c>
      <c r="D19">
        <v>6</v>
      </c>
      <c r="E19">
        <v>3468</v>
      </c>
      <c r="F19">
        <v>18</v>
      </c>
      <c r="G19">
        <v>9</v>
      </c>
      <c r="H19" t="s">
        <v>184</v>
      </c>
    </row>
    <row r="20" spans="1:8">
      <c r="A20">
        <v>3034</v>
      </c>
      <c r="B20" t="s">
        <v>76</v>
      </c>
      <c r="C20">
        <v>575</v>
      </c>
      <c r="D20">
        <v>6</v>
      </c>
      <c r="E20">
        <v>3450</v>
      </c>
      <c r="F20">
        <v>19</v>
      </c>
      <c r="G20">
        <v>9.3000000000000007</v>
      </c>
      <c r="H20" t="s">
        <v>184</v>
      </c>
    </row>
    <row r="21" spans="1:8">
      <c r="A21">
        <v>2883</v>
      </c>
      <c r="B21" t="s">
        <v>195</v>
      </c>
      <c r="C21">
        <v>550</v>
      </c>
      <c r="D21">
        <v>6</v>
      </c>
      <c r="E21">
        <v>3300</v>
      </c>
      <c r="F21">
        <v>20</v>
      </c>
      <c r="G21">
        <v>9.6</v>
      </c>
      <c r="H21" t="s">
        <v>184</v>
      </c>
    </row>
    <row r="22" spans="1:8">
      <c r="A22">
        <v>140</v>
      </c>
      <c r="B22" t="s">
        <v>196</v>
      </c>
      <c r="C22">
        <v>521</v>
      </c>
      <c r="D22">
        <v>6</v>
      </c>
      <c r="E22">
        <v>3126</v>
      </c>
      <c r="F22">
        <v>21</v>
      </c>
      <c r="G22">
        <v>9.9</v>
      </c>
      <c r="H22" t="s">
        <v>184</v>
      </c>
    </row>
    <row r="23" spans="1:8">
      <c r="A23">
        <v>2966</v>
      </c>
      <c r="B23" t="s">
        <v>197</v>
      </c>
      <c r="C23">
        <v>521</v>
      </c>
      <c r="D23">
        <v>6</v>
      </c>
      <c r="E23">
        <v>3126</v>
      </c>
      <c r="F23">
        <v>22</v>
      </c>
      <c r="G23">
        <v>10.199999999999999</v>
      </c>
      <c r="H23" t="s">
        <v>184</v>
      </c>
    </row>
    <row r="24" spans="1:8">
      <c r="A24">
        <v>3028</v>
      </c>
      <c r="B24" t="s">
        <v>92</v>
      </c>
      <c r="C24">
        <v>521</v>
      </c>
      <c r="D24">
        <v>6</v>
      </c>
      <c r="E24">
        <v>3126</v>
      </c>
      <c r="F24">
        <v>23</v>
      </c>
      <c r="G24">
        <v>10.5</v>
      </c>
      <c r="H24" t="s">
        <v>184</v>
      </c>
    </row>
    <row r="25" spans="1:8">
      <c r="A25">
        <v>111</v>
      </c>
      <c r="B25" t="s">
        <v>198</v>
      </c>
      <c r="C25">
        <v>509</v>
      </c>
      <c r="D25">
        <v>6</v>
      </c>
      <c r="E25">
        <v>3054</v>
      </c>
      <c r="F25">
        <v>24</v>
      </c>
      <c r="G25">
        <v>10.8</v>
      </c>
      <c r="H25" t="s">
        <v>184</v>
      </c>
    </row>
    <row r="26" spans="1:8">
      <c r="A26">
        <v>3534</v>
      </c>
      <c r="B26" t="s">
        <v>199</v>
      </c>
      <c r="C26">
        <v>507</v>
      </c>
      <c r="D26">
        <v>6</v>
      </c>
      <c r="E26">
        <v>3042</v>
      </c>
      <c r="F26">
        <v>25</v>
      </c>
      <c r="G26">
        <v>11.1</v>
      </c>
      <c r="H26" t="s">
        <v>184</v>
      </c>
    </row>
    <row r="27" spans="1:8">
      <c r="A27">
        <v>1721</v>
      </c>
      <c r="B27" t="s">
        <v>200</v>
      </c>
      <c r="C27">
        <v>595</v>
      </c>
      <c r="D27">
        <v>5</v>
      </c>
      <c r="E27">
        <v>2975</v>
      </c>
      <c r="F27">
        <v>26</v>
      </c>
      <c r="G27">
        <v>11.4</v>
      </c>
      <c r="H27" t="s">
        <v>184</v>
      </c>
    </row>
    <row r="28" spans="1:8">
      <c r="A28">
        <v>255</v>
      </c>
      <c r="B28" t="s">
        <v>60</v>
      </c>
      <c r="C28">
        <v>470</v>
      </c>
      <c r="D28">
        <v>6</v>
      </c>
      <c r="E28">
        <v>2820</v>
      </c>
      <c r="F28">
        <v>27</v>
      </c>
      <c r="G28">
        <v>11.6</v>
      </c>
      <c r="H28" t="s">
        <v>184</v>
      </c>
    </row>
    <row r="29" spans="1:8">
      <c r="A29">
        <v>149</v>
      </c>
      <c r="B29" t="s">
        <v>77</v>
      </c>
      <c r="C29">
        <v>462</v>
      </c>
      <c r="D29">
        <v>6</v>
      </c>
      <c r="E29">
        <v>2772</v>
      </c>
      <c r="F29">
        <v>28</v>
      </c>
      <c r="G29">
        <v>11.9</v>
      </c>
      <c r="H29" t="s">
        <v>184</v>
      </c>
    </row>
    <row r="30" spans="1:8">
      <c r="A30">
        <v>191</v>
      </c>
      <c r="B30" t="s">
        <v>201</v>
      </c>
      <c r="C30">
        <v>449</v>
      </c>
      <c r="D30">
        <v>6</v>
      </c>
      <c r="E30">
        <v>2694</v>
      </c>
      <c r="F30">
        <v>29</v>
      </c>
      <c r="G30">
        <v>12.2</v>
      </c>
      <c r="H30" t="s">
        <v>184</v>
      </c>
    </row>
    <row r="31" spans="1:8">
      <c r="A31">
        <v>1532</v>
      </c>
      <c r="B31" t="s">
        <v>202</v>
      </c>
      <c r="C31">
        <v>444</v>
      </c>
      <c r="D31">
        <v>6</v>
      </c>
      <c r="E31">
        <v>2664</v>
      </c>
      <c r="F31">
        <v>30</v>
      </c>
      <c r="G31">
        <v>12.4</v>
      </c>
      <c r="H31" t="s">
        <v>184</v>
      </c>
    </row>
    <row r="32" spans="1:8">
      <c r="A32">
        <v>502</v>
      </c>
      <c r="B32" t="s">
        <v>203</v>
      </c>
      <c r="C32">
        <v>436</v>
      </c>
      <c r="D32">
        <v>6</v>
      </c>
      <c r="E32">
        <v>2616</v>
      </c>
      <c r="F32">
        <v>31</v>
      </c>
      <c r="G32">
        <v>12.7</v>
      </c>
      <c r="H32" t="s">
        <v>184</v>
      </c>
    </row>
    <row r="33" spans="1:8">
      <c r="A33">
        <v>3557</v>
      </c>
      <c r="B33" t="s">
        <v>204</v>
      </c>
      <c r="C33">
        <v>649</v>
      </c>
      <c r="D33">
        <v>4</v>
      </c>
      <c r="E33">
        <v>2596</v>
      </c>
      <c r="F33">
        <v>32</v>
      </c>
      <c r="G33">
        <v>12.9</v>
      </c>
      <c r="H33" t="s">
        <v>184</v>
      </c>
    </row>
    <row r="34" spans="1:8">
      <c r="A34">
        <v>475</v>
      </c>
      <c r="B34" t="s">
        <v>205</v>
      </c>
      <c r="C34">
        <v>432</v>
      </c>
      <c r="D34">
        <v>6</v>
      </c>
      <c r="E34">
        <v>2592</v>
      </c>
      <c r="F34">
        <v>33</v>
      </c>
      <c r="G34">
        <v>13.2</v>
      </c>
      <c r="H34" t="s">
        <v>184</v>
      </c>
    </row>
    <row r="35" spans="1:8">
      <c r="A35">
        <v>3017</v>
      </c>
      <c r="B35" t="s">
        <v>57</v>
      </c>
      <c r="C35">
        <v>849</v>
      </c>
      <c r="D35">
        <v>3</v>
      </c>
      <c r="E35">
        <v>2547</v>
      </c>
      <c r="F35">
        <v>34</v>
      </c>
      <c r="G35">
        <v>13.4</v>
      </c>
      <c r="H35" t="s">
        <v>184</v>
      </c>
    </row>
    <row r="36" spans="1:8">
      <c r="A36">
        <v>3024</v>
      </c>
      <c r="B36" t="s">
        <v>59</v>
      </c>
      <c r="C36">
        <v>849</v>
      </c>
      <c r="D36">
        <v>3</v>
      </c>
      <c r="E36">
        <v>2547</v>
      </c>
      <c r="F36">
        <v>35</v>
      </c>
      <c r="G36">
        <v>13.6</v>
      </c>
      <c r="H36" t="s">
        <v>184</v>
      </c>
    </row>
    <row r="37" spans="1:8">
      <c r="A37">
        <v>513</v>
      </c>
      <c r="B37" t="s">
        <v>206</v>
      </c>
      <c r="C37">
        <v>423</v>
      </c>
      <c r="D37">
        <v>6</v>
      </c>
      <c r="E37">
        <v>2538</v>
      </c>
      <c r="F37">
        <v>36</v>
      </c>
      <c r="G37">
        <v>13.9</v>
      </c>
      <c r="H37" t="s">
        <v>184</v>
      </c>
    </row>
    <row r="38" spans="1:8">
      <c r="A38">
        <v>1628</v>
      </c>
      <c r="B38" t="s">
        <v>207</v>
      </c>
      <c r="C38">
        <v>499</v>
      </c>
      <c r="D38">
        <v>5</v>
      </c>
      <c r="E38">
        <v>2495</v>
      </c>
      <c r="F38">
        <v>37</v>
      </c>
      <c r="G38">
        <v>14.1</v>
      </c>
      <c r="H38" t="s">
        <v>184</v>
      </c>
    </row>
    <row r="39" spans="1:8">
      <c r="A39">
        <v>2824</v>
      </c>
      <c r="B39" t="s">
        <v>208</v>
      </c>
      <c r="C39">
        <v>415</v>
      </c>
      <c r="D39">
        <v>6</v>
      </c>
      <c r="E39">
        <v>2490</v>
      </c>
      <c r="F39">
        <v>38</v>
      </c>
      <c r="G39">
        <v>14.3</v>
      </c>
      <c r="H39" t="s">
        <v>184</v>
      </c>
    </row>
    <row r="40" spans="1:8">
      <c r="A40">
        <v>1435</v>
      </c>
      <c r="B40" t="s">
        <v>209</v>
      </c>
      <c r="C40">
        <v>401</v>
      </c>
      <c r="D40">
        <v>6</v>
      </c>
      <c r="E40">
        <v>2406</v>
      </c>
      <c r="F40">
        <v>39</v>
      </c>
      <c r="G40">
        <v>14.6</v>
      </c>
      <c r="H40" t="s">
        <v>184</v>
      </c>
    </row>
    <row r="41" spans="1:8">
      <c r="A41">
        <v>109</v>
      </c>
      <c r="B41" t="s">
        <v>210</v>
      </c>
      <c r="C41">
        <v>399</v>
      </c>
      <c r="D41">
        <v>6</v>
      </c>
      <c r="E41">
        <v>2394</v>
      </c>
      <c r="F41">
        <v>40</v>
      </c>
      <c r="G41">
        <v>14.8</v>
      </c>
      <c r="H41" t="s">
        <v>184</v>
      </c>
    </row>
    <row r="42" spans="1:8">
      <c r="A42">
        <v>492</v>
      </c>
      <c r="B42" t="s">
        <v>211</v>
      </c>
      <c r="C42">
        <v>399</v>
      </c>
      <c r="D42">
        <v>6</v>
      </c>
      <c r="E42">
        <v>2394</v>
      </c>
      <c r="F42">
        <v>41</v>
      </c>
      <c r="G42">
        <v>15</v>
      </c>
      <c r="H42" t="s">
        <v>184</v>
      </c>
    </row>
    <row r="43" spans="1:8">
      <c r="A43">
        <v>3709</v>
      </c>
      <c r="B43" t="s">
        <v>212</v>
      </c>
      <c r="C43">
        <v>396</v>
      </c>
      <c r="D43">
        <v>6</v>
      </c>
      <c r="E43">
        <v>2376</v>
      </c>
      <c r="F43">
        <v>42</v>
      </c>
      <c r="G43">
        <v>15.2</v>
      </c>
      <c r="H43" t="s">
        <v>184</v>
      </c>
    </row>
    <row r="44" spans="1:8">
      <c r="A44">
        <v>360</v>
      </c>
      <c r="B44" t="s">
        <v>213</v>
      </c>
      <c r="C44">
        <v>387</v>
      </c>
      <c r="D44">
        <v>6</v>
      </c>
      <c r="E44">
        <v>2322</v>
      </c>
      <c r="F44">
        <v>43</v>
      </c>
      <c r="G44">
        <v>15.5</v>
      </c>
      <c r="H44" t="s">
        <v>184</v>
      </c>
    </row>
    <row r="45" spans="1:8">
      <c r="A45">
        <v>472</v>
      </c>
      <c r="B45" t="s">
        <v>214</v>
      </c>
      <c r="C45">
        <v>387</v>
      </c>
      <c r="D45">
        <v>6</v>
      </c>
      <c r="E45">
        <v>2322</v>
      </c>
      <c r="F45">
        <v>44</v>
      </c>
      <c r="G45">
        <v>15.7</v>
      </c>
      <c r="H45" t="s">
        <v>184</v>
      </c>
    </row>
    <row r="46" spans="1:8">
      <c r="A46">
        <v>1407</v>
      </c>
      <c r="B46" t="s">
        <v>215</v>
      </c>
      <c r="C46">
        <v>387</v>
      </c>
      <c r="D46">
        <v>6</v>
      </c>
      <c r="E46">
        <v>2322</v>
      </c>
      <c r="F46">
        <v>45</v>
      </c>
      <c r="G46">
        <v>15.9</v>
      </c>
      <c r="H46" t="s">
        <v>184</v>
      </c>
    </row>
    <row r="47" spans="1:8">
      <c r="A47">
        <v>3686</v>
      </c>
      <c r="B47" t="s">
        <v>216</v>
      </c>
      <c r="C47">
        <v>385</v>
      </c>
      <c r="D47">
        <v>6</v>
      </c>
      <c r="E47">
        <v>2310</v>
      </c>
      <c r="F47">
        <v>46</v>
      </c>
      <c r="G47">
        <v>16.100000000000001</v>
      </c>
      <c r="H47" t="s">
        <v>184</v>
      </c>
    </row>
    <row r="48" spans="1:8">
      <c r="A48">
        <v>160</v>
      </c>
      <c r="B48" t="s">
        <v>163</v>
      </c>
      <c r="C48">
        <v>375</v>
      </c>
      <c r="D48">
        <v>6</v>
      </c>
      <c r="E48">
        <v>2250</v>
      </c>
      <c r="F48">
        <v>47</v>
      </c>
      <c r="G48">
        <v>16.3</v>
      </c>
      <c r="H48" t="s">
        <v>184</v>
      </c>
    </row>
    <row r="49" spans="1:8">
      <c r="A49">
        <v>387</v>
      </c>
      <c r="B49" t="s">
        <v>217</v>
      </c>
      <c r="C49">
        <v>369</v>
      </c>
      <c r="D49">
        <v>6</v>
      </c>
      <c r="E49">
        <v>2214</v>
      </c>
      <c r="F49">
        <v>48</v>
      </c>
      <c r="G49">
        <v>16.5</v>
      </c>
      <c r="H49" t="s">
        <v>184</v>
      </c>
    </row>
    <row r="50" spans="1:8">
      <c r="A50">
        <v>2765</v>
      </c>
      <c r="B50" t="s">
        <v>218</v>
      </c>
      <c r="C50">
        <v>367</v>
      </c>
      <c r="D50">
        <v>6</v>
      </c>
      <c r="E50">
        <v>2202</v>
      </c>
      <c r="F50">
        <v>49</v>
      </c>
      <c r="G50">
        <v>16.8</v>
      </c>
      <c r="H50" t="s">
        <v>184</v>
      </c>
    </row>
    <row r="51" spans="1:8">
      <c r="A51">
        <v>2885</v>
      </c>
      <c r="B51" t="s">
        <v>219</v>
      </c>
      <c r="C51">
        <v>550</v>
      </c>
      <c r="D51">
        <v>4</v>
      </c>
      <c r="E51">
        <v>2200</v>
      </c>
      <c r="F51">
        <v>50</v>
      </c>
      <c r="G51">
        <v>17</v>
      </c>
      <c r="H51" t="s">
        <v>184</v>
      </c>
    </row>
    <row r="52" spans="1:8">
      <c r="A52">
        <v>2912</v>
      </c>
      <c r="B52" t="s">
        <v>220</v>
      </c>
      <c r="C52">
        <v>550</v>
      </c>
      <c r="D52">
        <v>4</v>
      </c>
      <c r="E52">
        <v>2200</v>
      </c>
      <c r="F52">
        <v>51</v>
      </c>
      <c r="G52">
        <v>17.2</v>
      </c>
      <c r="H52" t="s">
        <v>184</v>
      </c>
    </row>
    <row r="53" spans="1:8">
      <c r="A53">
        <v>2884</v>
      </c>
      <c r="B53" t="s">
        <v>221</v>
      </c>
      <c r="C53">
        <v>359</v>
      </c>
      <c r="D53">
        <v>6</v>
      </c>
      <c r="E53">
        <v>2154</v>
      </c>
      <c r="F53">
        <v>52</v>
      </c>
      <c r="G53">
        <v>17.399999999999999</v>
      </c>
      <c r="H53" t="s">
        <v>184</v>
      </c>
    </row>
    <row r="54" spans="1:8">
      <c r="A54">
        <v>1658</v>
      </c>
      <c r="B54" t="s">
        <v>151</v>
      </c>
      <c r="C54">
        <v>355</v>
      </c>
      <c r="D54">
        <v>6</v>
      </c>
      <c r="E54">
        <v>2130</v>
      </c>
      <c r="F54">
        <v>53</v>
      </c>
      <c r="G54">
        <v>17.600000000000001</v>
      </c>
      <c r="H54" t="s">
        <v>184</v>
      </c>
    </row>
    <row r="55" spans="1:8">
      <c r="A55">
        <v>512</v>
      </c>
      <c r="B55" t="s">
        <v>188</v>
      </c>
      <c r="C55">
        <v>1050</v>
      </c>
      <c r="D55">
        <v>2</v>
      </c>
      <c r="E55">
        <v>2100</v>
      </c>
      <c r="F55">
        <v>54</v>
      </c>
      <c r="G55">
        <v>17.8</v>
      </c>
      <c r="H55" t="s">
        <v>184</v>
      </c>
    </row>
    <row r="56" spans="1:8">
      <c r="A56">
        <v>1685</v>
      </c>
      <c r="B56" t="s">
        <v>222</v>
      </c>
      <c r="C56">
        <v>350</v>
      </c>
      <c r="D56">
        <v>6</v>
      </c>
      <c r="E56">
        <v>2100</v>
      </c>
      <c r="F56">
        <v>55</v>
      </c>
      <c r="G56">
        <v>18</v>
      </c>
      <c r="H56" t="s">
        <v>184</v>
      </c>
    </row>
    <row r="57" spans="1:8">
      <c r="A57">
        <v>3538</v>
      </c>
      <c r="B57" t="s">
        <v>223</v>
      </c>
      <c r="C57">
        <v>347</v>
      </c>
      <c r="D57">
        <v>6</v>
      </c>
      <c r="E57">
        <v>2082</v>
      </c>
      <c r="F57">
        <v>56</v>
      </c>
      <c r="G57">
        <v>18.2</v>
      </c>
      <c r="H57" t="s">
        <v>184</v>
      </c>
    </row>
    <row r="58" spans="1:8">
      <c r="A58">
        <v>3065</v>
      </c>
      <c r="B58" t="s">
        <v>224</v>
      </c>
      <c r="C58">
        <v>345</v>
      </c>
      <c r="D58">
        <v>6</v>
      </c>
      <c r="E58">
        <v>2070</v>
      </c>
      <c r="F58">
        <v>57</v>
      </c>
      <c r="G58">
        <v>18.399999999999999</v>
      </c>
      <c r="H58" t="s">
        <v>184</v>
      </c>
    </row>
    <row r="59" spans="1:8">
      <c r="A59">
        <v>383</v>
      </c>
      <c r="B59" t="s">
        <v>225</v>
      </c>
      <c r="C59">
        <v>340</v>
      </c>
      <c r="D59">
        <v>6</v>
      </c>
      <c r="E59">
        <v>2040</v>
      </c>
      <c r="F59">
        <v>58</v>
      </c>
      <c r="G59">
        <v>18.600000000000001</v>
      </c>
      <c r="H59" t="s">
        <v>184</v>
      </c>
    </row>
    <row r="60" spans="1:8">
      <c r="A60">
        <v>389</v>
      </c>
      <c r="B60" t="s">
        <v>226</v>
      </c>
      <c r="C60">
        <v>340</v>
      </c>
      <c r="D60">
        <v>6</v>
      </c>
      <c r="E60">
        <v>2040</v>
      </c>
      <c r="F60">
        <v>59</v>
      </c>
      <c r="G60">
        <v>18.7</v>
      </c>
      <c r="H60" t="s">
        <v>184</v>
      </c>
    </row>
    <row r="61" spans="1:8">
      <c r="A61">
        <v>3037</v>
      </c>
      <c r="B61" t="s">
        <v>227</v>
      </c>
      <c r="C61">
        <v>338</v>
      </c>
      <c r="D61">
        <v>6</v>
      </c>
      <c r="E61">
        <v>2028</v>
      </c>
      <c r="F61">
        <v>60</v>
      </c>
      <c r="G61">
        <v>18.899999999999999</v>
      </c>
      <c r="H61" t="s">
        <v>184</v>
      </c>
    </row>
    <row r="62" spans="1:8">
      <c r="A62">
        <v>3691</v>
      </c>
      <c r="B62" t="s">
        <v>228</v>
      </c>
      <c r="C62">
        <v>338</v>
      </c>
      <c r="D62">
        <v>6</v>
      </c>
      <c r="E62">
        <v>2028</v>
      </c>
      <c r="F62">
        <v>61</v>
      </c>
      <c r="G62">
        <v>19.100000000000001</v>
      </c>
      <c r="H62" t="s">
        <v>184</v>
      </c>
    </row>
    <row r="63" spans="1:8">
      <c r="A63">
        <v>3019</v>
      </c>
      <c r="B63" t="s">
        <v>229</v>
      </c>
      <c r="C63">
        <v>334</v>
      </c>
      <c r="D63">
        <v>6</v>
      </c>
      <c r="E63">
        <v>2004</v>
      </c>
      <c r="F63">
        <v>62</v>
      </c>
      <c r="G63">
        <v>19.3</v>
      </c>
      <c r="H63" t="s">
        <v>184</v>
      </c>
    </row>
    <row r="64" spans="1:8">
      <c r="A64">
        <v>250</v>
      </c>
      <c r="B64" t="s">
        <v>144</v>
      </c>
      <c r="C64">
        <v>333</v>
      </c>
      <c r="D64">
        <v>6</v>
      </c>
      <c r="E64">
        <v>1998</v>
      </c>
      <c r="F64">
        <v>63</v>
      </c>
      <c r="G64">
        <v>19.5</v>
      </c>
      <c r="H64" t="s">
        <v>184</v>
      </c>
    </row>
    <row r="65" spans="1:8">
      <c r="A65">
        <v>1702</v>
      </c>
      <c r="B65" t="s">
        <v>230</v>
      </c>
      <c r="C65">
        <v>330</v>
      </c>
      <c r="D65">
        <v>6</v>
      </c>
      <c r="E65">
        <v>1980</v>
      </c>
      <c r="F65">
        <v>64</v>
      </c>
      <c r="G65">
        <v>19.7</v>
      </c>
      <c r="H65" t="s">
        <v>184</v>
      </c>
    </row>
    <row r="66" spans="1:8">
      <c r="A66">
        <v>1596</v>
      </c>
      <c r="B66" t="s">
        <v>231</v>
      </c>
      <c r="C66">
        <v>325</v>
      </c>
      <c r="D66">
        <v>6</v>
      </c>
      <c r="E66">
        <v>1950</v>
      </c>
      <c r="F66">
        <v>65</v>
      </c>
      <c r="G66">
        <v>19.899999999999999</v>
      </c>
      <c r="H66" t="s">
        <v>184</v>
      </c>
    </row>
    <row r="67" spans="1:8">
      <c r="A67">
        <v>3048</v>
      </c>
      <c r="B67" t="s">
        <v>59</v>
      </c>
      <c r="C67">
        <v>324</v>
      </c>
      <c r="D67">
        <v>6</v>
      </c>
      <c r="E67">
        <v>1944</v>
      </c>
      <c r="F67">
        <v>66</v>
      </c>
      <c r="G67">
        <v>20.100000000000001</v>
      </c>
      <c r="H67" t="s">
        <v>184</v>
      </c>
    </row>
    <row r="68" spans="1:8">
      <c r="A68">
        <v>3563</v>
      </c>
      <c r="B68" t="s">
        <v>232</v>
      </c>
      <c r="C68">
        <v>324</v>
      </c>
      <c r="D68">
        <v>6</v>
      </c>
      <c r="E68">
        <v>1944</v>
      </c>
      <c r="F68">
        <v>67</v>
      </c>
      <c r="G68">
        <v>20.2</v>
      </c>
      <c r="H68" t="s">
        <v>184</v>
      </c>
    </row>
    <row r="69" spans="1:8">
      <c r="A69">
        <v>2820</v>
      </c>
      <c r="B69" t="s">
        <v>233</v>
      </c>
      <c r="C69">
        <v>323</v>
      </c>
      <c r="D69">
        <v>6</v>
      </c>
      <c r="E69">
        <v>1938</v>
      </c>
      <c r="F69">
        <v>68</v>
      </c>
      <c r="G69">
        <v>20.399999999999999</v>
      </c>
      <c r="H69" t="s">
        <v>184</v>
      </c>
    </row>
    <row r="70" spans="1:8">
      <c r="A70">
        <v>1613</v>
      </c>
      <c r="B70" t="s">
        <v>234</v>
      </c>
      <c r="C70">
        <v>320</v>
      </c>
      <c r="D70">
        <v>6</v>
      </c>
      <c r="E70">
        <v>1920</v>
      </c>
      <c r="F70">
        <v>69</v>
      </c>
      <c r="G70">
        <v>20.6</v>
      </c>
      <c r="H70" t="s">
        <v>184</v>
      </c>
    </row>
    <row r="71" spans="1:8">
      <c r="A71">
        <v>3491</v>
      </c>
      <c r="B71" t="s">
        <v>235</v>
      </c>
      <c r="C71">
        <v>320</v>
      </c>
      <c r="D71">
        <v>6</v>
      </c>
      <c r="E71">
        <v>1920</v>
      </c>
      <c r="F71">
        <v>70</v>
      </c>
      <c r="G71">
        <v>20.8</v>
      </c>
      <c r="H71" t="s">
        <v>184</v>
      </c>
    </row>
    <row r="72" spans="1:8">
      <c r="A72">
        <v>538</v>
      </c>
      <c r="B72" t="s">
        <v>236</v>
      </c>
      <c r="C72">
        <v>319</v>
      </c>
      <c r="D72">
        <v>6</v>
      </c>
      <c r="E72">
        <v>1914</v>
      </c>
      <c r="F72">
        <v>71</v>
      </c>
      <c r="G72">
        <v>21</v>
      </c>
      <c r="H72" t="s">
        <v>184</v>
      </c>
    </row>
    <row r="73" spans="1:8">
      <c r="A73">
        <v>2924</v>
      </c>
      <c r="B73" t="s">
        <v>237</v>
      </c>
      <c r="C73">
        <v>319</v>
      </c>
      <c r="D73">
        <v>6</v>
      </c>
      <c r="E73">
        <v>1914</v>
      </c>
      <c r="F73">
        <v>72</v>
      </c>
      <c r="G73">
        <v>21.2</v>
      </c>
      <c r="H73" t="s">
        <v>184</v>
      </c>
    </row>
    <row r="74" spans="1:8">
      <c r="A74">
        <v>521</v>
      </c>
      <c r="B74" t="s">
        <v>238</v>
      </c>
      <c r="C74">
        <v>630</v>
      </c>
      <c r="D74">
        <v>3</v>
      </c>
      <c r="E74">
        <v>1890</v>
      </c>
      <c r="F74">
        <v>73</v>
      </c>
      <c r="G74">
        <v>21.3</v>
      </c>
      <c r="H74" t="s">
        <v>184</v>
      </c>
    </row>
    <row r="75" spans="1:8">
      <c r="A75">
        <v>352</v>
      </c>
      <c r="B75" t="s">
        <v>239</v>
      </c>
      <c r="C75">
        <v>312</v>
      </c>
      <c r="D75">
        <v>6</v>
      </c>
      <c r="E75">
        <v>1872</v>
      </c>
      <c r="F75">
        <v>74</v>
      </c>
      <c r="G75">
        <v>21.5</v>
      </c>
      <c r="H75" t="s">
        <v>184</v>
      </c>
    </row>
    <row r="76" spans="1:8">
      <c r="A76">
        <v>1537</v>
      </c>
      <c r="B76" t="s">
        <v>240</v>
      </c>
      <c r="C76">
        <v>310</v>
      </c>
      <c r="D76">
        <v>6</v>
      </c>
      <c r="E76">
        <v>1860</v>
      </c>
      <c r="F76">
        <v>75</v>
      </c>
      <c r="G76">
        <v>21.7</v>
      </c>
      <c r="H76" t="s">
        <v>184</v>
      </c>
    </row>
    <row r="77" spans="1:8">
      <c r="A77">
        <v>329</v>
      </c>
      <c r="B77" t="s">
        <v>241</v>
      </c>
      <c r="C77">
        <v>371</v>
      </c>
      <c r="D77">
        <v>5</v>
      </c>
      <c r="E77">
        <v>1855</v>
      </c>
      <c r="F77">
        <v>76</v>
      </c>
      <c r="G77">
        <v>21.9</v>
      </c>
      <c r="H77" t="s">
        <v>184</v>
      </c>
    </row>
    <row r="78" spans="1:8">
      <c r="A78">
        <v>127</v>
      </c>
      <c r="B78" t="s">
        <v>242</v>
      </c>
      <c r="C78">
        <v>309</v>
      </c>
      <c r="D78">
        <v>6</v>
      </c>
      <c r="E78">
        <v>1854</v>
      </c>
      <c r="F78">
        <v>77</v>
      </c>
      <c r="G78">
        <v>22</v>
      </c>
      <c r="H78" t="s">
        <v>184</v>
      </c>
    </row>
    <row r="79" spans="1:8">
      <c r="A79">
        <v>1477</v>
      </c>
      <c r="B79" t="s">
        <v>243</v>
      </c>
      <c r="C79">
        <v>309</v>
      </c>
      <c r="D79">
        <v>6</v>
      </c>
      <c r="E79">
        <v>1854</v>
      </c>
      <c r="F79">
        <v>78</v>
      </c>
      <c r="G79">
        <v>22.2</v>
      </c>
      <c r="H79" t="s">
        <v>184</v>
      </c>
    </row>
    <row r="80" spans="1:8">
      <c r="A80">
        <v>1493</v>
      </c>
      <c r="B80" t="s">
        <v>244</v>
      </c>
      <c r="C80">
        <v>309</v>
      </c>
      <c r="D80">
        <v>6</v>
      </c>
      <c r="E80">
        <v>1854</v>
      </c>
      <c r="F80">
        <v>79</v>
      </c>
      <c r="G80">
        <v>22.4</v>
      </c>
      <c r="H80" t="s">
        <v>184</v>
      </c>
    </row>
    <row r="81" spans="1:8">
      <c r="A81">
        <v>3602</v>
      </c>
      <c r="B81" t="s">
        <v>134</v>
      </c>
      <c r="C81">
        <v>308</v>
      </c>
      <c r="D81">
        <v>6</v>
      </c>
      <c r="E81">
        <v>1848</v>
      </c>
      <c r="F81">
        <v>80</v>
      </c>
      <c r="G81">
        <v>22.6</v>
      </c>
      <c r="H81" t="s">
        <v>184</v>
      </c>
    </row>
    <row r="82" spans="1:8">
      <c r="A82">
        <v>2790</v>
      </c>
      <c r="B82" t="s">
        <v>245</v>
      </c>
      <c r="C82">
        <v>460</v>
      </c>
      <c r="D82">
        <v>4</v>
      </c>
      <c r="E82">
        <v>1840</v>
      </c>
      <c r="F82">
        <v>81</v>
      </c>
      <c r="G82">
        <v>22.7</v>
      </c>
      <c r="H82" t="s">
        <v>184</v>
      </c>
    </row>
    <row r="83" spans="1:8">
      <c r="A83">
        <v>2932</v>
      </c>
      <c r="B83" t="s">
        <v>89</v>
      </c>
      <c r="C83">
        <v>612</v>
      </c>
      <c r="D83">
        <v>3</v>
      </c>
      <c r="E83">
        <v>1836</v>
      </c>
      <c r="F83">
        <v>82</v>
      </c>
      <c r="G83">
        <v>22.9</v>
      </c>
      <c r="H83" t="s">
        <v>184</v>
      </c>
    </row>
    <row r="84" spans="1:8">
      <c r="A84">
        <v>3695</v>
      </c>
      <c r="B84" t="s">
        <v>246</v>
      </c>
      <c r="C84">
        <v>306</v>
      </c>
      <c r="D84">
        <v>6</v>
      </c>
      <c r="E84">
        <v>1836</v>
      </c>
      <c r="F84">
        <v>83</v>
      </c>
      <c r="G84">
        <v>23.1</v>
      </c>
      <c r="H84" t="s">
        <v>184</v>
      </c>
    </row>
    <row r="85" spans="1:8">
      <c r="A85">
        <v>1460</v>
      </c>
      <c r="B85" t="s">
        <v>247</v>
      </c>
      <c r="C85">
        <v>305</v>
      </c>
      <c r="D85">
        <v>6</v>
      </c>
      <c r="E85">
        <v>1830</v>
      </c>
      <c r="F85">
        <v>84</v>
      </c>
      <c r="G85">
        <v>23.3</v>
      </c>
      <c r="H85" t="s">
        <v>184</v>
      </c>
    </row>
    <row r="86" spans="1:8">
      <c r="A86">
        <v>2856</v>
      </c>
      <c r="B86" t="s">
        <v>62</v>
      </c>
      <c r="C86">
        <v>899</v>
      </c>
      <c r="D86">
        <v>2</v>
      </c>
      <c r="E86">
        <v>1798</v>
      </c>
      <c r="F86">
        <v>85</v>
      </c>
      <c r="G86">
        <v>23.4</v>
      </c>
      <c r="H86" t="s">
        <v>184</v>
      </c>
    </row>
    <row r="87" spans="1:8">
      <c r="A87">
        <v>462</v>
      </c>
      <c r="B87" t="s">
        <v>248</v>
      </c>
      <c r="C87">
        <v>299</v>
      </c>
      <c r="D87">
        <v>6</v>
      </c>
      <c r="E87">
        <v>1794</v>
      </c>
      <c r="F87">
        <v>86</v>
      </c>
      <c r="G87">
        <v>23.6</v>
      </c>
      <c r="H87" t="s">
        <v>184</v>
      </c>
    </row>
    <row r="88" spans="1:8">
      <c r="A88">
        <v>1502</v>
      </c>
      <c r="B88" t="s">
        <v>249</v>
      </c>
      <c r="C88">
        <v>298</v>
      </c>
      <c r="D88">
        <v>6</v>
      </c>
      <c r="E88">
        <v>1788</v>
      </c>
      <c r="F88">
        <v>87</v>
      </c>
      <c r="G88">
        <v>23.8</v>
      </c>
      <c r="H88" t="s">
        <v>184</v>
      </c>
    </row>
    <row r="89" spans="1:8">
      <c r="A89">
        <v>2850</v>
      </c>
      <c r="B89" t="s">
        <v>250</v>
      </c>
      <c r="C89">
        <v>298</v>
      </c>
      <c r="D89">
        <v>6</v>
      </c>
      <c r="E89">
        <v>1788</v>
      </c>
      <c r="F89">
        <v>88</v>
      </c>
      <c r="G89">
        <v>23.9</v>
      </c>
      <c r="H89" t="s">
        <v>184</v>
      </c>
    </row>
    <row r="90" spans="1:8">
      <c r="A90">
        <v>1423</v>
      </c>
      <c r="B90" t="s">
        <v>251</v>
      </c>
      <c r="C90">
        <v>357</v>
      </c>
      <c r="D90">
        <v>5</v>
      </c>
      <c r="E90">
        <v>1785</v>
      </c>
      <c r="F90">
        <v>89</v>
      </c>
      <c r="G90">
        <v>24.1</v>
      </c>
      <c r="H90" t="s">
        <v>184</v>
      </c>
    </row>
    <row r="91" spans="1:8">
      <c r="A91">
        <v>1605</v>
      </c>
      <c r="B91" t="s">
        <v>252</v>
      </c>
      <c r="C91">
        <v>297</v>
      </c>
      <c r="D91">
        <v>6</v>
      </c>
      <c r="E91">
        <v>1782</v>
      </c>
      <c r="F91">
        <v>90</v>
      </c>
      <c r="G91">
        <v>24.3</v>
      </c>
      <c r="H91" t="s">
        <v>184</v>
      </c>
    </row>
    <row r="92" spans="1:8">
      <c r="A92">
        <v>3544</v>
      </c>
      <c r="B92" t="s">
        <v>253</v>
      </c>
      <c r="C92">
        <v>297</v>
      </c>
      <c r="D92">
        <v>6</v>
      </c>
      <c r="E92">
        <v>1782</v>
      </c>
      <c r="F92">
        <v>91</v>
      </c>
      <c r="G92">
        <v>24.4</v>
      </c>
      <c r="H92" t="s">
        <v>184</v>
      </c>
    </row>
    <row r="93" spans="1:8">
      <c r="A93">
        <v>517</v>
      </c>
      <c r="B93" t="s">
        <v>254</v>
      </c>
      <c r="C93">
        <v>295</v>
      </c>
      <c r="D93">
        <v>6</v>
      </c>
      <c r="E93">
        <v>1770</v>
      </c>
      <c r="F93">
        <v>92</v>
      </c>
      <c r="G93">
        <v>24.6</v>
      </c>
      <c r="H93" t="s">
        <v>184</v>
      </c>
    </row>
    <row r="94" spans="1:8">
      <c r="A94">
        <v>528</v>
      </c>
      <c r="B94" t="s">
        <v>255</v>
      </c>
      <c r="C94">
        <v>295</v>
      </c>
      <c r="D94">
        <v>6</v>
      </c>
      <c r="E94">
        <v>1770</v>
      </c>
      <c r="F94">
        <v>93</v>
      </c>
      <c r="G94">
        <v>24.8</v>
      </c>
      <c r="H94" t="s">
        <v>184</v>
      </c>
    </row>
    <row r="95" spans="1:8">
      <c r="A95">
        <v>531</v>
      </c>
      <c r="B95" t="s">
        <v>256</v>
      </c>
      <c r="C95">
        <v>295</v>
      </c>
      <c r="D95">
        <v>6</v>
      </c>
      <c r="E95">
        <v>1770</v>
      </c>
      <c r="F95">
        <v>94</v>
      </c>
      <c r="G95">
        <v>24.9</v>
      </c>
      <c r="H95" t="s">
        <v>184</v>
      </c>
    </row>
    <row r="96" spans="1:8">
      <c r="A96">
        <v>1607</v>
      </c>
      <c r="B96" t="s">
        <v>257</v>
      </c>
      <c r="C96">
        <v>295</v>
      </c>
      <c r="D96">
        <v>6</v>
      </c>
      <c r="E96">
        <v>1770</v>
      </c>
      <c r="F96">
        <v>95</v>
      </c>
      <c r="G96">
        <v>25.1</v>
      </c>
      <c r="H96" t="s">
        <v>184</v>
      </c>
    </row>
    <row r="97" spans="1:8">
      <c r="A97">
        <v>1578</v>
      </c>
      <c r="B97" t="s">
        <v>258</v>
      </c>
      <c r="C97">
        <v>294</v>
      </c>
      <c r="D97">
        <v>6</v>
      </c>
      <c r="E97">
        <v>1764</v>
      </c>
      <c r="F97">
        <v>96</v>
      </c>
      <c r="G97">
        <v>25.3</v>
      </c>
      <c r="H97" t="s">
        <v>184</v>
      </c>
    </row>
    <row r="98" spans="1:8">
      <c r="A98">
        <v>1538</v>
      </c>
      <c r="B98" t="s">
        <v>259</v>
      </c>
      <c r="C98">
        <v>292</v>
      </c>
      <c r="D98">
        <v>6</v>
      </c>
      <c r="E98">
        <v>1752</v>
      </c>
      <c r="F98">
        <v>97</v>
      </c>
      <c r="G98">
        <v>25.4</v>
      </c>
      <c r="H98" t="s">
        <v>184</v>
      </c>
    </row>
    <row r="99" spans="1:8">
      <c r="A99">
        <v>3553</v>
      </c>
      <c r="B99" t="s">
        <v>260</v>
      </c>
      <c r="C99">
        <v>292</v>
      </c>
      <c r="D99">
        <v>6</v>
      </c>
      <c r="E99">
        <v>1752</v>
      </c>
      <c r="F99">
        <v>98</v>
      </c>
      <c r="G99">
        <v>25.6</v>
      </c>
      <c r="H99" t="s">
        <v>184</v>
      </c>
    </row>
    <row r="100" spans="1:8">
      <c r="A100">
        <v>1535</v>
      </c>
      <c r="B100" t="s">
        <v>141</v>
      </c>
      <c r="C100">
        <v>290</v>
      </c>
      <c r="D100">
        <v>6</v>
      </c>
      <c r="E100">
        <v>1740</v>
      </c>
      <c r="F100">
        <v>99</v>
      </c>
      <c r="G100">
        <v>25.8</v>
      </c>
      <c r="H100" t="s">
        <v>184</v>
      </c>
    </row>
    <row r="101" spans="1:8">
      <c r="A101">
        <v>357</v>
      </c>
      <c r="B101" t="s">
        <v>261</v>
      </c>
      <c r="C101">
        <v>347</v>
      </c>
      <c r="D101">
        <v>5</v>
      </c>
      <c r="E101">
        <v>1735</v>
      </c>
      <c r="F101">
        <v>100</v>
      </c>
      <c r="G101">
        <v>25.9</v>
      </c>
      <c r="H101" t="s">
        <v>184</v>
      </c>
    </row>
    <row r="102" spans="1:8">
      <c r="A102">
        <v>1417</v>
      </c>
      <c r="B102" t="s">
        <v>262</v>
      </c>
      <c r="C102">
        <v>347</v>
      </c>
      <c r="D102">
        <v>5</v>
      </c>
      <c r="E102">
        <v>1735</v>
      </c>
      <c r="F102">
        <v>101</v>
      </c>
      <c r="G102">
        <v>26.1</v>
      </c>
      <c r="H102" t="s">
        <v>184</v>
      </c>
    </row>
    <row r="103" spans="1:8">
      <c r="A103">
        <v>1652</v>
      </c>
      <c r="B103" t="s">
        <v>263</v>
      </c>
      <c r="C103">
        <v>288</v>
      </c>
      <c r="D103">
        <v>6</v>
      </c>
      <c r="E103">
        <v>1728</v>
      </c>
      <c r="F103">
        <v>102</v>
      </c>
      <c r="G103">
        <v>26.3</v>
      </c>
      <c r="H103" t="s">
        <v>184</v>
      </c>
    </row>
    <row r="104" spans="1:8">
      <c r="A104">
        <v>3007</v>
      </c>
      <c r="B104" t="s">
        <v>264</v>
      </c>
      <c r="C104">
        <v>340</v>
      </c>
      <c r="D104">
        <v>5</v>
      </c>
      <c r="E104">
        <v>1700</v>
      </c>
      <c r="F104">
        <v>103</v>
      </c>
      <c r="G104">
        <v>26.4</v>
      </c>
      <c r="H104" t="s">
        <v>184</v>
      </c>
    </row>
    <row r="105" spans="1:8">
      <c r="A105">
        <v>138</v>
      </c>
      <c r="B105" t="s">
        <v>265</v>
      </c>
      <c r="C105">
        <v>283</v>
      </c>
      <c r="D105">
        <v>6</v>
      </c>
      <c r="E105">
        <v>1698</v>
      </c>
      <c r="F105">
        <v>104</v>
      </c>
      <c r="G105">
        <v>26.6</v>
      </c>
      <c r="H105" t="s">
        <v>184</v>
      </c>
    </row>
    <row r="106" spans="1:8">
      <c r="A106">
        <v>174</v>
      </c>
      <c r="B106" t="s">
        <v>266</v>
      </c>
      <c r="C106">
        <v>283</v>
      </c>
      <c r="D106">
        <v>6</v>
      </c>
      <c r="E106">
        <v>1698</v>
      </c>
      <c r="F106">
        <v>105</v>
      </c>
      <c r="G106">
        <v>26.7</v>
      </c>
      <c r="H106" t="s">
        <v>184</v>
      </c>
    </row>
    <row r="107" spans="1:8">
      <c r="A107">
        <v>154</v>
      </c>
      <c r="B107" t="s">
        <v>267</v>
      </c>
      <c r="C107">
        <v>281</v>
      </c>
      <c r="D107">
        <v>6</v>
      </c>
      <c r="E107">
        <v>1686</v>
      </c>
      <c r="F107">
        <v>106</v>
      </c>
      <c r="G107">
        <v>26.9</v>
      </c>
      <c r="H107" t="s">
        <v>184</v>
      </c>
    </row>
    <row r="108" spans="1:8">
      <c r="A108">
        <v>477</v>
      </c>
      <c r="B108" t="s">
        <v>268</v>
      </c>
      <c r="C108">
        <v>279</v>
      </c>
      <c r="D108">
        <v>6</v>
      </c>
      <c r="E108">
        <v>1674</v>
      </c>
      <c r="F108">
        <v>107</v>
      </c>
      <c r="G108">
        <v>27.1</v>
      </c>
      <c r="H108" t="s">
        <v>184</v>
      </c>
    </row>
    <row r="109" spans="1:8">
      <c r="A109">
        <v>2936</v>
      </c>
      <c r="B109" t="s">
        <v>269</v>
      </c>
      <c r="C109">
        <v>278</v>
      </c>
      <c r="D109">
        <v>6</v>
      </c>
      <c r="E109">
        <v>1668</v>
      </c>
      <c r="F109">
        <v>108</v>
      </c>
      <c r="G109">
        <v>27.2</v>
      </c>
      <c r="H109" t="s">
        <v>184</v>
      </c>
    </row>
    <row r="110" spans="1:8">
      <c r="A110">
        <v>432</v>
      </c>
      <c r="B110" t="s">
        <v>270</v>
      </c>
      <c r="C110">
        <v>276</v>
      </c>
      <c r="D110">
        <v>6</v>
      </c>
      <c r="E110">
        <v>1656</v>
      </c>
      <c r="F110">
        <v>109</v>
      </c>
      <c r="G110">
        <v>27.4</v>
      </c>
      <c r="H110" t="s">
        <v>184</v>
      </c>
    </row>
    <row r="111" spans="1:8">
      <c r="A111">
        <v>1631</v>
      </c>
      <c r="B111" t="s">
        <v>271</v>
      </c>
      <c r="C111">
        <v>276</v>
      </c>
      <c r="D111">
        <v>6</v>
      </c>
      <c r="E111">
        <v>1656</v>
      </c>
      <c r="F111">
        <v>110</v>
      </c>
      <c r="G111">
        <v>27.5</v>
      </c>
      <c r="H111" t="s">
        <v>184</v>
      </c>
    </row>
    <row r="112" spans="1:8">
      <c r="A112">
        <v>343</v>
      </c>
      <c r="B112" t="s">
        <v>91</v>
      </c>
      <c r="C112">
        <v>275</v>
      </c>
      <c r="D112">
        <v>6</v>
      </c>
      <c r="E112">
        <v>1650</v>
      </c>
      <c r="F112">
        <v>111</v>
      </c>
      <c r="G112">
        <v>27.7</v>
      </c>
      <c r="H112" t="s">
        <v>184</v>
      </c>
    </row>
    <row r="113" spans="1:8">
      <c r="A113">
        <v>2956</v>
      </c>
      <c r="B113" t="s">
        <v>272</v>
      </c>
      <c r="C113">
        <v>550</v>
      </c>
      <c r="D113">
        <v>3</v>
      </c>
      <c r="E113">
        <v>1650</v>
      </c>
      <c r="F113">
        <v>112</v>
      </c>
      <c r="G113">
        <v>27.8</v>
      </c>
      <c r="H113" t="s">
        <v>184</v>
      </c>
    </row>
    <row r="114" spans="1:8">
      <c r="A114">
        <v>3009</v>
      </c>
      <c r="B114" t="s">
        <v>273</v>
      </c>
      <c r="C114">
        <v>550</v>
      </c>
      <c r="D114">
        <v>3</v>
      </c>
      <c r="E114">
        <v>1650</v>
      </c>
      <c r="F114">
        <v>113</v>
      </c>
      <c r="G114">
        <v>28</v>
      </c>
      <c r="H114" t="s">
        <v>184</v>
      </c>
    </row>
    <row r="115" spans="1:8">
      <c r="A115">
        <v>433</v>
      </c>
      <c r="B115" t="s">
        <v>274</v>
      </c>
      <c r="C115">
        <v>272</v>
      </c>
      <c r="D115">
        <v>6</v>
      </c>
      <c r="E115">
        <v>1632</v>
      </c>
      <c r="F115">
        <v>114</v>
      </c>
      <c r="G115">
        <v>28.2</v>
      </c>
      <c r="H115" t="s">
        <v>184</v>
      </c>
    </row>
    <row r="116" spans="1:8">
      <c r="A116">
        <v>2903</v>
      </c>
      <c r="B116" t="s">
        <v>275</v>
      </c>
      <c r="C116">
        <v>325</v>
      </c>
      <c r="D116">
        <v>5</v>
      </c>
      <c r="E116">
        <v>1625</v>
      </c>
      <c r="F116">
        <v>115</v>
      </c>
      <c r="G116">
        <v>28.3</v>
      </c>
      <c r="H116" t="s">
        <v>184</v>
      </c>
    </row>
    <row r="117" spans="1:8">
      <c r="A117">
        <v>1634</v>
      </c>
      <c r="B117" t="s">
        <v>276</v>
      </c>
      <c r="C117">
        <v>269</v>
      </c>
      <c r="D117">
        <v>6</v>
      </c>
      <c r="E117">
        <v>1614</v>
      </c>
      <c r="F117">
        <v>116</v>
      </c>
      <c r="G117">
        <v>28.5</v>
      </c>
      <c r="H117" t="s">
        <v>184</v>
      </c>
    </row>
    <row r="118" spans="1:8">
      <c r="A118">
        <v>3486</v>
      </c>
      <c r="B118" t="s">
        <v>277</v>
      </c>
      <c r="C118">
        <v>269</v>
      </c>
      <c r="D118">
        <v>6</v>
      </c>
      <c r="E118">
        <v>1614</v>
      </c>
      <c r="F118">
        <v>117</v>
      </c>
      <c r="G118">
        <v>28.6</v>
      </c>
      <c r="H118" t="s">
        <v>184</v>
      </c>
    </row>
    <row r="119" spans="1:8">
      <c r="A119">
        <v>350</v>
      </c>
      <c r="B119" t="s">
        <v>278</v>
      </c>
      <c r="C119">
        <v>266</v>
      </c>
      <c r="D119">
        <v>6</v>
      </c>
      <c r="E119">
        <v>1596</v>
      </c>
      <c r="F119">
        <v>118</v>
      </c>
      <c r="G119">
        <v>28.8</v>
      </c>
      <c r="H119" t="s">
        <v>184</v>
      </c>
    </row>
    <row r="120" spans="1:8">
      <c r="A120">
        <v>469</v>
      </c>
      <c r="B120" t="s">
        <v>279</v>
      </c>
      <c r="C120">
        <v>266</v>
      </c>
      <c r="D120">
        <v>6</v>
      </c>
      <c r="E120">
        <v>1596</v>
      </c>
      <c r="F120">
        <v>119</v>
      </c>
      <c r="G120">
        <v>28.9</v>
      </c>
      <c r="H120" t="s">
        <v>184</v>
      </c>
    </row>
    <row r="121" spans="1:8">
      <c r="A121">
        <v>3058</v>
      </c>
      <c r="B121" t="s">
        <v>129</v>
      </c>
      <c r="C121">
        <v>266</v>
      </c>
      <c r="D121">
        <v>6</v>
      </c>
      <c r="E121">
        <v>1596</v>
      </c>
      <c r="F121">
        <v>120</v>
      </c>
      <c r="G121">
        <v>29.1</v>
      </c>
      <c r="H121" t="s">
        <v>184</v>
      </c>
    </row>
    <row r="122" spans="1:8">
      <c r="A122">
        <v>3064</v>
      </c>
      <c r="B122" t="s">
        <v>280</v>
      </c>
      <c r="C122">
        <v>266</v>
      </c>
      <c r="D122">
        <v>6</v>
      </c>
      <c r="E122">
        <v>1596</v>
      </c>
      <c r="F122">
        <v>121</v>
      </c>
      <c r="G122">
        <v>29.2</v>
      </c>
      <c r="H122" t="s">
        <v>184</v>
      </c>
    </row>
    <row r="123" spans="1:8">
      <c r="A123">
        <v>139</v>
      </c>
      <c r="B123" t="s">
        <v>145</v>
      </c>
      <c r="C123">
        <v>265</v>
      </c>
      <c r="D123">
        <v>6</v>
      </c>
      <c r="E123">
        <v>1590</v>
      </c>
      <c r="F123">
        <v>122</v>
      </c>
      <c r="G123">
        <v>29.4</v>
      </c>
      <c r="H123" t="s">
        <v>184</v>
      </c>
    </row>
    <row r="124" spans="1:8">
      <c r="A124">
        <v>2955</v>
      </c>
      <c r="B124" t="s">
        <v>138</v>
      </c>
      <c r="C124">
        <v>265</v>
      </c>
      <c r="D124">
        <v>6</v>
      </c>
      <c r="E124">
        <v>1590</v>
      </c>
      <c r="F124">
        <v>123</v>
      </c>
      <c r="G124">
        <v>29.5</v>
      </c>
      <c r="H124" t="s">
        <v>184</v>
      </c>
    </row>
    <row r="125" spans="1:8">
      <c r="A125">
        <v>3583</v>
      </c>
      <c r="B125" t="s">
        <v>281</v>
      </c>
      <c r="C125">
        <v>265</v>
      </c>
      <c r="D125">
        <v>6</v>
      </c>
      <c r="E125">
        <v>1590</v>
      </c>
      <c r="F125">
        <v>124</v>
      </c>
      <c r="G125">
        <v>29.7</v>
      </c>
      <c r="H125" t="s">
        <v>184</v>
      </c>
    </row>
    <row r="126" spans="1:8">
      <c r="A126">
        <v>1548</v>
      </c>
      <c r="B126" t="s">
        <v>58</v>
      </c>
      <c r="C126">
        <v>396</v>
      </c>
      <c r="D126">
        <v>4</v>
      </c>
      <c r="E126">
        <v>1584</v>
      </c>
      <c r="F126">
        <v>125</v>
      </c>
      <c r="G126">
        <v>29.8</v>
      </c>
      <c r="H126" t="s">
        <v>184</v>
      </c>
    </row>
    <row r="127" spans="1:8">
      <c r="A127">
        <v>2990</v>
      </c>
      <c r="B127" t="s">
        <v>93</v>
      </c>
      <c r="C127">
        <v>264</v>
      </c>
      <c r="D127">
        <v>6</v>
      </c>
      <c r="E127">
        <v>1584</v>
      </c>
      <c r="F127">
        <v>126</v>
      </c>
      <c r="G127">
        <v>30</v>
      </c>
      <c r="H127" t="s">
        <v>184</v>
      </c>
    </row>
    <row r="128" spans="1:8">
      <c r="A128">
        <v>2945</v>
      </c>
      <c r="B128" t="s">
        <v>155</v>
      </c>
      <c r="C128">
        <v>263</v>
      </c>
      <c r="D128">
        <v>6</v>
      </c>
      <c r="E128">
        <v>1578</v>
      </c>
      <c r="F128">
        <v>127</v>
      </c>
      <c r="G128">
        <v>30.1</v>
      </c>
      <c r="H128" t="s">
        <v>184</v>
      </c>
    </row>
    <row r="129" spans="1:8">
      <c r="A129">
        <v>3003</v>
      </c>
      <c r="B129" t="s">
        <v>105</v>
      </c>
      <c r="C129">
        <v>263</v>
      </c>
      <c r="D129">
        <v>6</v>
      </c>
      <c r="E129">
        <v>1578</v>
      </c>
      <c r="F129">
        <v>128</v>
      </c>
      <c r="G129">
        <v>30.3</v>
      </c>
      <c r="H129" t="s">
        <v>184</v>
      </c>
    </row>
    <row r="130" spans="1:8">
      <c r="A130">
        <v>3482</v>
      </c>
      <c r="B130" t="s">
        <v>282</v>
      </c>
      <c r="C130">
        <v>263</v>
      </c>
      <c r="D130">
        <v>6</v>
      </c>
      <c r="E130">
        <v>1578</v>
      </c>
      <c r="F130">
        <v>129</v>
      </c>
      <c r="G130">
        <v>30.4</v>
      </c>
      <c r="H130" t="s">
        <v>184</v>
      </c>
    </row>
    <row r="131" spans="1:8">
      <c r="A131">
        <v>1547</v>
      </c>
      <c r="B131" t="s">
        <v>283</v>
      </c>
      <c r="C131">
        <v>261</v>
      </c>
      <c r="D131">
        <v>6</v>
      </c>
      <c r="E131">
        <v>1566</v>
      </c>
      <c r="F131">
        <v>130</v>
      </c>
      <c r="G131">
        <v>30.6</v>
      </c>
      <c r="H131" t="s">
        <v>184</v>
      </c>
    </row>
    <row r="132" spans="1:8">
      <c r="A132">
        <v>2787</v>
      </c>
      <c r="B132" t="s">
        <v>284</v>
      </c>
      <c r="C132">
        <v>261</v>
      </c>
      <c r="D132">
        <v>6</v>
      </c>
      <c r="E132">
        <v>1566</v>
      </c>
      <c r="F132">
        <v>131</v>
      </c>
      <c r="G132">
        <v>30.7</v>
      </c>
      <c r="H132" t="s">
        <v>184</v>
      </c>
    </row>
    <row r="133" spans="1:8">
      <c r="A133">
        <v>351</v>
      </c>
      <c r="B133" t="s">
        <v>285</v>
      </c>
      <c r="C133">
        <v>312</v>
      </c>
      <c r="D133">
        <v>5</v>
      </c>
      <c r="E133">
        <v>1560</v>
      </c>
      <c r="F133">
        <v>132</v>
      </c>
      <c r="G133">
        <v>30.9</v>
      </c>
      <c r="H133" t="s">
        <v>184</v>
      </c>
    </row>
    <row r="134" spans="1:8">
      <c r="A134">
        <v>412</v>
      </c>
      <c r="B134" t="s">
        <v>286</v>
      </c>
      <c r="C134">
        <v>260</v>
      </c>
      <c r="D134">
        <v>6</v>
      </c>
      <c r="E134">
        <v>1560</v>
      </c>
      <c r="F134">
        <v>133</v>
      </c>
      <c r="G134">
        <v>31</v>
      </c>
      <c r="H134" t="s">
        <v>184</v>
      </c>
    </row>
    <row r="135" spans="1:8">
      <c r="A135">
        <v>1523</v>
      </c>
      <c r="B135" t="s">
        <v>106</v>
      </c>
      <c r="C135">
        <v>520</v>
      </c>
      <c r="D135">
        <v>3</v>
      </c>
      <c r="E135">
        <v>1560</v>
      </c>
      <c r="F135">
        <v>134</v>
      </c>
      <c r="G135">
        <v>31.1</v>
      </c>
      <c r="H135" t="s">
        <v>184</v>
      </c>
    </row>
    <row r="136" spans="1:8">
      <c r="A136">
        <v>1557</v>
      </c>
      <c r="B136" t="s">
        <v>287</v>
      </c>
      <c r="C136">
        <v>260</v>
      </c>
      <c r="D136">
        <v>6</v>
      </c>
      <c r="E136">
        <v>1560</v>
      </c>
      <c r="F136">
        <v>135</v>
      </c>
      <c r="G136">
        <v>31.3</v>
      </c>
      <c r="H136" t="s">
        <v>184</v>
      </c>
    </row>
    <row r="137" spans="1:8">
      <c r="A137">
        <v>1653</v>
      </c>
      <c r="B137" t="s">
        <v>288</v>
      </c>
      <c r="C137">
        <v>260</v>
      </c>
      <c r="D137">
        <v>6</v>
      </c>
      <c r="E137">
        <v>1560</v>
      </c>
      <c r="F137">
        <v>136</v>
      </c>
      <c r="G137">
        <v>31.4</v>
      </c>
      <c r="H137" t="s">
        <v>184</v>
      </c>
    </row>
    <row r="138" spans="1:8">
      <c r="A138">
        <v>3615</v>
      </c>
      <c r="B138" t="s">
        <v>289</v>
      </c>
      <c r="C138">
        <v>260</v>
      </c>
      <c r="D138">
        <v>6</v>
      </c>
      <c r="E138">
        <v>1560</v>
      </c>
      <c r="F138">
        <v>137</v>
      </c>
      <c r="G138">
        <v>31.6</v>
      </c>
      <c r="H138" t="s">
        <v>184</v>
      </c>
    </row>
    <row r="139" spans="1:8">
      <c r="A139">
        <v>3675</v>
      </c>
      <c r="B139" t="s">
        <v>290</v>
      </c>
      <c r="C139">
        <v>254</v>
      </c>
      <c r="D139">
        <v>6</v>
      </c>
      <c r="E139">
        <v>1524</v>
      </c>
      <c r="F139">
        <v>138</v>
      </c>
      <c r="G139">
        <v>31.7</v>
      </c>
      <c r="H139" t="s">
        <v>184</v>
      </c>
    </row>
    <row r="140" spans="1:8">
      <c r="A140">
        <v>3552</v>
      </c>
      <c r="B140" t="s">
        <v>291</v>
      </c>
      <c r="C140">
        <v>252</v>
      </c>
      <c r="D140">
        <v>6</v>
      </c>
      <c r="E140">
        <v>1512</v>
      </c>
      <c r="F140">
        <v>139</v>
      </c>
      <c r="G140">
        <v>31.9</v>
      </c>
      <c r="H140" t="s">
        <v>184</v>
      </c>
    </row>
    <row r="141" spans="1:8">
      <c r="A141">
        <v>3592</v>
      </c>
      <c r="B141" t="s">
        <v>292</v>
      </c>
      <c r="C141">
        <v>252</v>
      </c>
      <c r="D141">
        <v>6</v>
      </c>
      <c r="E141">
        <v>1512</v>
      </c>
      <c r="F141">
        <v>140</v>
      </c>
      <c r="G141">
        <v>32</v>
      </c>
      <c r="H141" t="s">
        <v>184</v>
      </c>
    </row>
    <row r="142" spans="1:8">
      <c r="A142">
        <v>165</v>
      </c>
      <c r="B142" t="s">
        <v>60</v>
      </c>
      <c r="C142">
        <v>251</v>
      </c>
      <c r="D142">
        <v>6</v>
      </c>
      <c r="E142">
        <v>1506</v>
      </c>
      <c r="F142">
        <v>141</v>
      </c>
      <c r="G142">
        <v>32.200000000000003</v>
      </c>
      <c r="H142" t="s">
        <v>184</v>
      </c>
    </row>
    <row r="143" spans="1:8">
      <c r="A143">
        <v>499</v>
      </c>
      <c r="B143" t="s">
        <v>104</v>
      </c>
      <c r="C143">
        <v>251</v>
      </c>
      <c r="D143">
        <v>6</v>
      </c>
      <c r="E143">
        <v>1506</v>
      </c>
      <c r="F143">
        <v>142</v>
      </c>
      <c r="G143">
        <v>32.299999999999997</v>
      </c>
      <c r="H143" t="s">
        <v>184</v>
      </c>
    </row>
    <row r="144" spans="1:8">
      <c r="A144">
        <v>1701</v>
      </c>
      <c r="B144" t="s">
        <v>293</v>
      </c>
      <c r="C144">
        <v>250</v>
      </c>
      <c r="D144">
        <v>6</v>
      </c>
      <c r="E144">
        <v>1500</v>
      </c>
      <c r="F144">
        <v>143</v>
      </c>
      <c r="G144">
        <v>32.4</v>
      </c>
      <c r="H144" t="s">
        <v>184</v>
      </c>
    </row>
    <row r="145" spans="1:8">
      <c r="A145">
        <v>3069</v>
      </c>
      <c r="B145" t="s">
        <v>294</v>
      </c>
      <c r="C145">
        <v>250</v>
      </c>
      <c r="D145">
        <v>6</v>
      </c>
      <c r="E145">
        <v>1500</v>
      </c>
      <c r="F145">
        <v>144</v>
      </c>
      <c r="G145">
        <v>32.6</v>
      </c>
      <c r="H145" t="s">
        <v>184</v>
      </c>
    </row>
    <row r="146" spans="1:8">
      <c r="A146">
        <v>3546</v>
      </c>
      <c r="B146" t="s">
        <v>295</v>
      </c>
      <c r="C146">
        <v>750</v>
      </c>
      <c r="D146">
        <v>2</v>
      </c>
      <c r="E146">
        <v>1500</v>
      </c>
      <c r="F146">
        <v>145</v>
      </c>
      <c r="G146">
        <v>32.700000000000003</v>
      </c>
      <c r="H146" t="s">
        <v>184</v>
      </c>
    </row>
    <row r="147" spans="1:8">
      <c r="A147">
        <v>3567</v>
      </c>
      <c r="B147" t="s">
        <v>296</v>
      </c>
      <c r="C147">
        <v>250</v>
      </c>
      <c r="D147">
        <v>6</v>
      </c>
      <c r="E147">
        <v>1500</v>
      </c>
      <c r="F147">
        <v>146</v>
      </c>
      <c r="G147">
        <v>32.9</v>
      </c>
      <c r="H147" t="s">
        <v>184</v>
      </c>
    </row>
    <row r="148" spans="1:8">
      <c r="A148">
        <v>101</v>
      </c>
      <c r="B148" t="s">
        <v>116</v>
      </c>
      <c r="C148">
        <v>249</v>
      </c>
      <c r="D148">
        <v>6</v>
      </c>
      <c r="E148">
        <v>1494</v>
      </c>
      <c r="F148">
        <v>147</v>
      </c>
      <c r="G148">
        <v>33</v>
      </c>
      <c r="H148" t="s">
        <v>184</v>
      </c>
    </row>
    <row r="149" spans="1:8">
      <c r="A149">
        <v>2951</v>
      </c>
      <c r="B149" t="s">
        <v>297</v>
      </c>
      <c r="C149">
        <v>249</v>
      </c>
      <c r="D149">
        <v>6</v>
      </c>
      <c r="E149">
        <v>1494</v>
      </c>
      <c r="F149">
        <v>148</v>
      </c>
      <c r="G149">
        <v>33.200000000000003</v>
      </c>
      <c r="H149" t="s">
        <v>184</v>
      </c>
    </row>
    <row r="150" spans="1:8">
      <c r="A150">
        <v>420</v>
      </c>
      <c r="B150" t="s">
        <v>298</v>
      </c>
      <c r="C150">
        <v>372</v>
      </c>
      <c r="D150">
        <v>4</v>
      </c>
      <c r="E150">
        <v>1488</v>
      </c>
      <c r="F150">
        <v>149</v>
      </c>
      <c r="G150">
        <v>33.299999999999997</v>
      </c>
      <c r="H150" t="s">
        <v>184</v>
      </c>
    </row>
    <row r="151" spans="1:8">
      <c r="A151">
        <v>425</v>
      </c>
      <c r="B151" t="s">
        <v>299</v>
      </c>
      <c r="C151">
        <v>248</v>
      </c>
      <c r="D151">
        <v>6</v>
      </c>
      <c r="E151">
        <v>1488</v>
      </c>
      <c r="F151">
        <v>150</v>
      </c>
      <c r="G151">
        <v>33.4</v>
      </c>
      <c r="H151" t="s">
        <v>184</v>
      </c>
    </row>
    <row r="152" spans="1:8">
      <c r="A152">
        <v>2552</v>
      </c>
      <c r="B152" t="s">
        <v>300</v>
      </c>
      <c r="C152">
        <v>248</v>
      </c>
      <c r="D152">
        <v>6</v>
      </c>
      <c r="E152">
        <v>1488</v>
      </c>
      <c r="F152">
        <v>151</v>
      </c>
      <c r="G152">
        <v>33.6</v>
      </c>
      <c r="H152" t="s">
        <v>184</v>
      </c>
    </row>
    <row r="153" spans="1:8">
      <c r="A153">
        <v>2770</v>
      </c>
      <c r="B153" t="s">
        <v>301</v>
      </c>
      <c r="C153">
        <v>247</v>
      </c>
      <c r="D153">
        <v>6</v>
      </c>
      <c r="E153">
        <v>1482</v>
      </c>
      <c r="F153">
        <v>152</v>
      </c>
      <c r="G153">
        <v>33.700000000000003</v>
      </c>
      <c r="H153" t="s">
        <v>184</v>
      </c>
    </row>
    <row r="154" spans="1:8">
      <c r="A154">
        <v>2890</v>
      </c>
      <c r="B154" t="s">
        <v>302</v>
      </c>
      <c r="C154">
        <v>247</v>
      </c>
      <c r="D154">
        <v>6</v>
      </c>
      <c r="E154">
        <v>1482</v>
      </c>
      <c r="F154">
        <v>153</v>
      </c>
      <c r="G154">
        <v>33.9</v>
      </c>
      <c r="H154" t="s">
        <v>184</v>
      </c>
    </row>
    <row r="155" spans="1:8">
      <c r="A155">
        <v>3016</v>
      </c>
      <c r="B155" t="s">
        <v>303</v>
      </c>
      <c r="C155">
        <v>247</v>
      </c>
      <c r="D155">
        <v>6</v>
      </c>
      <c r="E155">
        <v>1482</v>
      </c>
      <c r="F155">
        <v>154</v>
      </c>
      <c r="G155">
        <v>34</v>
      </c>
      <c r="H155" t="s">
        <v>184</v>
      </c>
    </row>
    <row r="156" spans="1:8">
      <c r="A156">
        <v>3678</v>
      </c>
      <c r="B156" t="s">
        <v>304</v>
      </c>
      <c r="C156">
        <v>246</v>
      </c>
      <c r="D156">
        <v>6</v>
      </c>
      <c r="E156">
        <v>1476</v>
      </c>
      <c r="F156">
        <v>155</v>
      </c>
      <c r="G156">
        <v>34.1</v>
      </c>
      <c r="H156" t="s">
        <v>184</v>
      </c>
    </row>
    <row r="157" spans="1:8">
      <c r="A157">
        <v>100</v>
      </c>
      <c r="B157" t="s">
        <v>305</v>
      </c>
      <c r="C157">
        <v>245</v>
      </c>
      <c r="D157">
        <v>6</v>
      </c>
      <c r="E157">
        <v>1470</v>
      </c>
      <c r="F157">
        <v>156</v>
      </c>
      <c r="G157">
        <v>34.299999999999997</v>
      </c>
      <c r="H157" t="s">
        <v>184</v>
      </c>
    </row>
    <row r="158" spans="1:8">
      <c r="A158">
        <v>289</v>
      </c>
      <c r="B158" t="s">
        <v>139</v>
      </c>
      <c r="C158">
        <v>294</v>
      </c>
      <c r="D158">
        <v>5</v>
      </c>
      <c r="E158">
        <v>1470</v>
      </c>
      <c r="F158">
        <v>157</v>
      </c>
      <c r="G158">
        <v>34.4</v>
      </c>
      <c r="H158" t="s">
        <v>184</v>
      </c>
    </row>
    <row r="159" spans="1:8">
      <c r="A159">
        <v>302</v>
      </c>
      <c r="B159" t="s">
        <v>306</v>
      </c>
      <c r="C159">
        <v>245</v>
      </c>
      <c r="D159">
        <v>6</v>
      </c>
      <c r="E159">
        <v>1470</v>
      </c>
      <c r="F159">
        <v>158</v>
      </c>
      <c r="G159">
        <v>34.6</v>
      </c>
      <c r="H159" t="s">
        <v>184</v>
      </c>
    </row>
    <row r="160" spans="1:8">
      <c r="A160">
        <v>406</v>
      </c>
      <c r="B160" t="s">
        <v>109</v>
      </c>
      <c r="C160">
        <v>245</v>
      </c>
      <c r="D160">
        <v>6</v>
      </c>
      <c r="E160">
        <v>1470</v>
      </c>
      <c r="F160">
        <v>159</v>
      </c>
      <c r="G160">
        <v>34.700000000000003</v>
      </c>
      <c r="H160" t="s">
        <v>184</v>
      </c>
    </row>
    <row r="161" spans="1:8">
      <c r="A161">
        <v>1683</v>
      </c>
      <c r="B161" t="s">
        <v>307</v>
      </c>
      <c r="C161">
        <v>245</v>
      </c>
      <c r="D161">
        <v>6</v>
      </c>
      <c r="E161">
        <v>1470</v>
      </c>
      <c r="F161">
        <v>160</v>
      </c>
      <c r="G161">
        <v>34.799999999999997</v>
      </c>
      <c r="H161" t="s">
        <v>184</v>
      </c>
    </row>
    <row r="162" spans="1:8">
      <c r="A162">
        <v>3050</v>
      </c>
      <c r="B162" t="s">
        <v>78</v>
      </c>
      <c r="C162">
        <v>367</v>
      </c>
      <c r="D162">
        <v>4</v>
      </c>
      <c r="E162">
        <v>1468</v>
      </c>
      <c r="F162">
        <v>161</v>
      </c>
      <c r="G162">
        <v>35</v>
      </c>
      <c r="H162" t="s">
        <v>184</v>
      </c>
    </row>
    <row r="163" spans="1:8">
      <c r="A163">
        <v>1712</v>
      </c>
      <c r="B163" t="s">
        <v>308</v>
      </c>
      <c r="C163">
        <v>293</v>
      </c>
      <c r="D163">
        <v>5</v>
      </c>
      <c r="E163">
        <v>1465</v>
      </c>
      <c r="F163">
        <v>162</v>
      </c>
      <c r="G163">
        <v>35.1</v>
      </c>
      <c r="H163" t="s">
        <v>184</v>
      </c>
    </row>
    <row r="164" spans="1:8">
      <c r="A164">
        <v>1134</v>
      </c>
      <c r="B164" t="s">
        <v>124</v>
      </c>
      <c r="C164">
        <v>240</v>
      </c>
      <c r="D164">
        <v>6</v>
      </c>
      <c r="E164">
        <v>1440</v>
      </c>
      <c r="F164">
        <v>163</v>
      </c>
      <c r="G164">
        <v>35.200000000000003</v>
      </c>
      <c r="H164" t="s">
        <v>184</v>
      </c>
    </row>
    <row r="165" spans="1:8">
      <c r="A165">
        <v>1150</v>
      </c>
      <c r="B165" t="s">
        <v>309</v>
      </c>
      <c r="C165">
        <v>240</v>
      </c>
      <c r="D165">
        <v>6</v>
      </c>
      <c r="E165">
        <v>1440</v>
      </c>
      <c r="F165">
        <v>164</v>
      </c>
      <c r="G165">
        <v>35.4</v>
      </c>
      <c r="H165" t="s">
        <v>184</v>
      </c>
    </row>
    <row r="166" spans="1:8">
      <c r="A166">
        <v>1663</v>
      </c>
      <c r="B166" t="s">
        <v>310</v>
      </c>
      <c r="C166">
        <v>288</v>
      </c>
      <c r="D166">
        <v>5</v>
      </c>
      <c r="E166">
        <v>1440</v>
      </c>
      <c r="F166">
        <v>165</v>
      </c>
      <c r="G166">
        <v>35.5</v>
      </c>
      <c r="H166" t="s">
        <v>184</v>
      </c>
    </row>
    <row r="167" spans="1:8">
      <c r="A167">
        <v>3613</v>
      </c>
      <c r="B167" t="s">
        <v>311</v>
      </c>
      <c r="C167">
        <v>240</v>
      </c>
      <c r="D167">
        <v>6</v>
      </c>
      <c r="E167">
        <v>1440</v>
      </c>
      <c r="F167">
        <v>166</v>
      </c>
      <c r="G167">
        <v>35.700000000000003</v>
      </c>
      <c r="H167" t="s">
        <v>184</v>
      </c>
    </row>
    <row r="168" spans="1:8">
      <c r="A168">
        <v>394</v>
      </c>
      <c r="B168" t="s">
        <v>312</v>
      </c>
      <c r="C168">
        <v>239</v>
      </c>
      <c r="D168">
        <v>6</v>
      </c>
      <c r="E168">
        <v>1434</v>
      </c>
      <c r="F168">
        <v>167</v>
      </c>
      <c r="G168">
        <v>35.799999999999997</v>
      </c>
      <c r="H168" t="s">
        <v>184</v>
      </c>
    </row>
    <row r="169" spans="1:8">
      <c r="A169">
        <v>474</v>
      </c>
      <c r="B169" t="s">
        <v>313</v>
      </c>
      <c r="C169">
        <v>239</v>
      </c>
      <c r="D169">
        <v>6</v>
      </c>
      <c r="E169">
        <v>1434</v>
      </c>
      <c r="F169">
        <v>168</v>
      </c>
      <c r="G169">
        <v>35.9</v>
      </c>
      <c r="H169" t="s">
        <v>184</v>
      </c>
    </row>
    <row r="170" spans="1:8">
      <c r="A170">
        <v>1180</v>
      </c>
      <c r="B170" t="s">
        <v>314</v>
      </c>
      <c r="C170">
        <v>238</v>
      </c>
      <c r="D170">
        <v>6</v>
      </c>
      <c r="E170">
        <v>1428</v>
      </c>
      <c r="F170">
        <v>169</v>
      </c>
      <c r="G170">
        <v>36.1</v>
      </c>
      <c r="H170" t="s">
        <v>184</v>
      </c>
    </row>
    <row r="171" spans="1:8">
      <c r="A171">
        <v>2882</v>
      </c>
      <c r="B171" t="s">
        <v>315</v>
      </c>
      <c r="C171">
        <v>285</v>
      </c>
      <c r="D171">
        <v>5</v>
      </c>
      <c r="E171">
        <v>1425</v>
      </c>
      <c r="F171">
        <v>170</v>
      </c>
      <c r="G171">
        <v>36.200000000000003</v>
      </c>
      <c r="H171" t="s">
        <v>184</v>
      </c>
    </row>
    <row r="172" spans="1:8">
      <c r="A172">
        <v>1212</v>
      </c>
      <c r="B172" t="s">
        <v>316</v>
      </c>
      <c r="C172">
        <v>237</v>
      </c>
      <c r="D172">
        <v>6</v>
      </c>
      <c r="E172">
        <v>1422</v>
      </c>
      <c r="F172">
        <v>171</v>
      </c>
      <c r="G172">
        <v>36.299999999999997</v>
      </c>
      <c r="H172" t="s">
        <v>184</v>
      </c>
    </row>
    <row r="173" spans="1:8">
      <c r="A173">
        <v>1213</v>
      </c>
      <c r="B173" t="s">
        <v>317</v>
      </c>
      <c r="C173">
        <v>237</v>
      </c>
      <c r="D173">
        <v>6</v>
      </c>
      <c r="E173">
        <v>1422</v>
      </c>
      <c r="F173">
        <v>172</v>
      </c>
      <c r="G173">
        <v>36.5</v>
      </c>
      <c r="H173" t="s">
        <v>184</v>
      </c>
    </row>
    <row r="174" spans="1:8">
      <c r="A174">
        <v>3063</v>
      </c>
      <c r="B174" t="s">
        <v>111</v>
      </c>
      <c r="C174">
        <v>236</v>
      </c>
      <c r="D174">
        <v>6</v>
      </c>
      <c r="E174">
        <v>1416</v>
      </c>
      <c r="F174">
        <v>173</v>
      </c>
      <c r="G174">
        <v>36.6</v>
      </c>
      <c r="H174" t="s">
        <v>184</v>
      </c>
    </row>
    <row r="175" spans="1:8">
      <c r="A175">
        <v>438</v>
      </c>
      <c r="B175" t="s">
        <v>318</v>
      </c>
      <c r="C175">
        <v>235</v>
      </c>
      <c r="D175">
        <v>6</v>
      </c>
      <c r="E175">
        <v>1410</v>
      </c>
      <c r="F175">
        <v>174</v>
      </c>
      <c r="G175">
        <v>36.700000000000003</v>
      </c>
      <c r="H175" t="s">
        <v>184</v>
      </c>
    </row>
    <row r="176" spans="1:8">
      <c r="A176">
        <v>3010</v>
      </c>
      <c r="B176" t="s">
        <v>157</v>
      </c>
      <c r="C176">
        <v>235</v>
      </c>
      <c r="D176">
        <v>6</v>
      </c>
      <c r="E176">
        <v>1410</v>
      </c>
      <c r="F176">
        <v>175</v>
      </c>
      <c r="G176">
        <v>36.9</v>
      </c>
      <c r="H176" t="s">
        <v>184</v>
      </c>
    </row>
    <row r="177" spans="1:8">
      <c r="A177">
        <v>1692</v>
      </c>
      <c r="B177" t="s">
        <v>319</v>
      </c>
      <c r="C177">
        <v>234</v>
      </c>
      <c r="D177">
        <v>6</v>
      </c>
      <c r="E177">
        <v>1404</v>
      </c>
      <c r="F177">
        <v>176</v>
      </c>
      <c r="G177">
        <v>37</v>
      </c>
      <c r="H177" t="s">
        <v>184</v>
      </c>
    </row>
    <row r="178" spans="1:8">
      <c r="A178">
        <v>1708</v>
      </c>
      <c r="B178" t="s">
        <v>320</v>
      </c>
      <c r="C178">
        <v>234</v>
      </c>
      <c r="D178">
        <v>6</v>
      </c>
      <c r="E178">
        <v>1404</v>
      </c>
      <c r="F178">
        <v>177</v>
      </c>
      <c r="G178">
        <v>37.1</v>
      </c>
      <c r="H178" t="s">
        <v>184</v>
      </c>
    </row>
    <row r="179" spans="1:8">
      <c r="A179">
        <v>1709</v>
      </c>
      <c r="B179" t="s">
        <v>321</v>
      </c>
      <c r="C179">
        <v>234</v>
      </c>
      <c r="D179">
        <v>6</v>
      </c>
      <c r="E179">
        <v>1404</v>
      </c>
      <c r="F179">
        <v>178</v>
      </c>
      <c r="G179">
        <v>37.299999999999997</v>
      </c>
      <c r="H179" t="s">
        <v>184</v>
      </c>
    </row>
    <row r="180" spans="1:8">
      <c r="A180">
        <v>1713</v>
      </c>
      <c r="B180" t="s">
        <v>322</v>
      </c>
      <c r="C180">
        <v>234</v>
      </c>
      <c r="D180">
        <v>6</v>
      </c>
      <c r="E180">
        <v>1404</v>
      </c>
      <c r="F180">
        <v>179</v>
      </c>
      <c r="G180">
        <v>37.4</v>
      </c>
      <c r="H180" t="s">
        <v>184</v>
      </c>
    </row>
    <row r="181" spans="1:8">
      <c r="A181">
        <v>1719</v>
      </c>
      <c r="B181" t="s">
        <v>323</v>
      </c>
      <c r="C181">
        <v>234</v>
      </c>
      <c r="D181">
        <v>6</v>
      </c>
      <c r="E181">
        <v>1404</v>
      </c>
      <c r="F181">
        <v>180</v>
      </c>
      <c r="G181">
        <v>37.5</v>
      </c>
      <c r="H181" t="s">
        <v>184</v>
      </c>
    </row>
    <row r="182" spans="1:8">
      <c r="A182">
        <v>2840</v>
      </c>
      <c r="B182" t="s">
        <v>324</v>
      </c>
      <c r="C182">
        <v>234</v>
      </c>
      <c r="D182">
        <v>6</v>
      </c>
      <c r="E182">
        <v>1404</v>
      </c>
      <c r="F182">
        <v>181</v>
      </c>
      <c r="G182">
        <v>37.700000000000003</v>
      </c>
      <c r="H182" t="s">
        <v>184</v>
      </c>
    </row>
    <row r="183" spans="1:8">
      <c r="A183">
        <v>2906</v>
      </c>
      <c r="B183" t="s">
        <v>92</v>
      </c>
      <c r="C183">
        <v>234</v>
      </c>
      <c r="D183">
        <v>6</v>
      </c>
      <c r="E183">
        <v>1404</v>
      </c>
      <c r="F183">
        <v>182</v>
      </c>
      <c r="G183">
        <v>37.799999999999997</v>
      </c>
      <c r="H183" t="s">
        <v>184</v>
      </c>
    </row>
    <row r="184" spans="1:8">
      <c r="A184">
        <v>3529</v>
      </c>
      <c r="B184" t="s">
        <v>325</v>
      </c>
      <c r="C184">
        <v>234</v>
      </c>
      <c r="D184">
        <v>6</v>
      </c>
      <c r="E184">
        <v>1404</v>
      </c>
      <c r="F184">
        <v>183</v>
      </c>
      <c r="G184">
        <v>37.9</v>
      </c>
      <c r="H184" t="s">
        <v>184</v>
      </c>
    </row>
    <row r="185" spans="1:8">
      <c r="A185">
        <v>1676</v>
      </c>
      <c r="B185" t="s">
        <v>326</v>
      </c>
      <c r="C185">
        <v>279</v>
      </c>
      <c r="D185">
        <v>5</v>
      </c>
      <c r="E185">
        <v>1395</v>
      </c>
      <c r="F185">
        <v>184</v>
      </c>
      <c r="G185">
        <v>38.1</v>
      </c>
      <c r="H185" t="s">
        <v>184</v>
      </c>
    </row>
    <row r="186" spans="1:8">
      <c r="A186">
        <v>2892</v>
      </c>
      <c r="B186" t="s">
        <v>327</v>
      </c>
      <c r="C186">
        <v>279</v>
      </c>
      <c r="D186">
        <v>5</v>
      </c>
      <c r="E186">
        <v>1395</v>
      </c>
      <c r="F186">
        <v>185</v>
      </c>
      <c r="G186">
        <v>38.200000000000003</v>
      </c>
      <c r="H186" t="s">
        <v>184</v>
      </c>
    </row>
    <row r="187" spans="1:8">
      <c r="A187">
        <v>1205</v>
      </c>
      <c r="B187" t="s">
        <v>328</v>
      </c>
      <c r="C187">
        <v>232</v>
      </c>
      <c r="D187">
        <v>6</v>
      </c>
      <c r="E187">
        <v>1392</v>
      </c>
      <c r="F187">
        <v>186</v>
      </c>
      <c r="G187">
        <v>38.299999999999997</v>
      </c>
      <c r="H187" t="s">
        <v>184</v>
      </c>
    </row>
    <row r="188" spans="1:8">
      <c r="A188">
        <v>1545</v>
      </c>
      <c r="B188" t="s">
        <v>94</v>
      </c>
      <c r="C188">
        <v>232</v>
      </c>
      <c r="D188">
        <v>6</v>
      </c>
      <c r="E188">
        <v>1392</v>
      </c>
      <c r="F188">
        <v>187</v>
      </c>
      <c r="G188">
        <v>38.4</v>
      </c>
      <c r="H188" t="s">
        <v>184</v>
      </c>
    </row>
    <row r="189" spans="1:8">
      <c r="A189">
        <v>1639</v>
      </c>
      <c r="B189" t="s">
        <v>329</v>
      </c>
      <c r="C189">
        <v>230</v>
      </c>
      <c r="D189">
        <v>6</v>
      </c>
      <c r="E189">
        <v>1380</v>
      </c>
      <c r="F189">
        <v>188</v>
      </c>
      <c r="G189">
        <v>38.6</v>
      </c>
      <c r="H189" t="s">
        <v>184</v>
      </c>
    </row>
    <row r="190" spans="1:8">
      <c r="A190">
        <v>1695</v>
      </c>
      <c r="B190" t="s">
        <v>330</v>
      </c>
      <c r="C190">
        <v>230</v>
      </c>
      <c r="D190">
        <v>6</v>
      </c>
      <c r="E190">
        <v>1380</v>
      </c>
      <c r="F190">
        <v>189</v>
      </c>
      <c r="G190">
        <v>38.700000000000003</v>
      </c>
      <c r="H190" t="s">
        <v>184</v>
      </c>
    </row>
    <row r="191" spans="1:8">
      <c r="A191">
        <v>2949</v>
      </c>
      <c r="B191" t="s">
        <v>331</v>
      </c>
      <c r="C191">
        <v>229</v>
      </c>
      <c r="D191">
        <v>6</v>
      </c>
      <c r="E191">
        <v>1374</v>
      </c>
      <c r="F191">
        <v>190</v>
      </c>
      <c r="G191">
        <v>38.799999999999997</v>
      </c>
      <c r="H191" t="s">
        <v>184</v>
      </c>
    </row>
    <row r="192" spans="1:8">
      <c r="A192">
        <v>2942</v>
      </c>
      <c r="B192" t="s">
        <v>332</v>
      </c>
      <c r="C192">
        <v>339</v>
      </c>
      <c r="D192">
        <v>4</v>
      </c>
      <c r="E192">
        <v>1356</v>
      </c>
      <c r="F192">
        <v>191</v>
      </c>
      <c r="G192">
        <v>39</v>
      </c>
      <c r="H192" t="s">
        <v>184</v>
      </c>
    </row>
    <row r="193" spans="1:8">
      <c r="A193">
        <v>1470</v>
      </c>
      <c r="B193" t="s">
        <v>333</v>
      </c>
      <c r="C193">
        <v>270</v>
      </c>
      <c r="D193">
        <v>5</v>
      </c>
      <c r="E193">
        <v>1350</v>
      </c>
      <c r="F193">
        <v>192</v>
      </c>
      <c r="G193">
        <v>39.1</v>
      </c>
      <c r="H193" t="s">
        <v>184</v>
      </c>
    </row>
    <row r="194" spans="1:8">
      <c r="A194">
        <v>2920</v>
      </c>
      <c r="B194" t="s">
        <v>334</v>
      </c>
      <c r="C194">
        <v>225</v>
      </c>
      <c r="D194">
        <v>6</v>
      </c>
      <c r="E194">
        <v>1350</v>
      </c>
      <c r="F194">
        <v>193</v>
      </c>
      <c r="G194">
        <v>39.200000000000003</v>
      </c>
      <c r="H194" t="s">
        <v>184</v>
      </c>
    </row>
    <row r="195" spans="1:8">
      <c r="A195">
        <v>2925</v>
      </c>
      <c r="B195" t="s">
        <v>335</v>
      </c>
      <c r="C195">
        <v>225</v>
      </c>
      <c r="D195">
        <v>6</v>
      </c>
      <c r="E195">
        <v>1350</v>
      </c>
      <c r="F195">
        <v>194</v>
      </c>
      <c r="G195">
        <v>39.299999999999997</v>
      </c>
      <c r="H195" t="s">
        <v>184</v>
      </c>
    </row>
    <row r="196" spans="1:8">
      <c r="A196">
        <v>2972</v>
      </c>
      <c r="B196" t="s">
        <v>336</v>
      </c>
      <c r="C196">
        <v>225</v>
      </c>
      <c r="D196">
        <v>6</v>
      </c>
      <c r="E196">
        <v>1350</v>
      </c>
      <c r="F196">
        <v>195</v>
      </c>
      <c r="G196">
        <v>39.5</v>
      </c>
      <c r="H196" t="s">
        <v>184</v>
      </c>
    </row>
    <row r="197" spans="1:8">
      <c r="A197">
        <v>3477</v>
      </c>
      <c r="B197" t="s">
        <v>96</v>
      </c>
      <c r="C197">
        <v>225</v>
      </c>
      <c r="D197">
        <v>6</v>
      </c>
      <c r="E197">
        <v>1350</v>
      </c>
      <c r="F197">
        <v>196</v>
      </c>
      <c r="G197">
        <v>39.6</v>
      </c>
      <c r="H197" t="s">
        <v>184</v>
      </c>
    </row>
    <row r="198" spans="1:8">
      <c r="A198">
        <v>3584</v>
      </c>
      <c r="B198" t="s">
        <v>296</v>
      </c>
      <c r="C198">
        <v>225</v>
      </c>
      <c r="D198">
        <v>6</v>
      </c>
      <c r="E198">
        <v>1350</v>
      </c>
      <c r="F198">
        <v>197</v>
      </c>
      <c r="G198">
        <v>39.700000000000003</v>
      </c>
      <c r="H198" t="s">
        <v>184</v>
      </c>
    </row>
    <row r="199" spans="1:8">
      <c r="A199">
        <v>3710</v>
      </c>
      <c r="B199" t="s">
        <v>337</v>
      </c>
      <c r="C199">
        <v>225</v>
      </c>
      <c r="D199">
        <v>6</v>
      </c>
      <c r="E199">
        <v>1350</v>
      </c>
      <c r="F199">
        <v>198</v>
      </c>
      <c r="G199">
        <v>39.9</v>
      </c>
      <c r="H199" t="s">
        <v>184</v>
      </c>
    </row>
    <row r="200" spans="1:8">
      <c r="A200">
        <v>2815</v>
      </c>
      <c r="B200" t="s">
        <v>338</v>
      </c>
      <c r="C200">
        <v>449</v>
      </c>
      <c r="D200">
        <v>3</v>
      </c>
      <c r="E200">
        <v>1347</v>
      </c>
      <c r="F200">
        <v>199</v>
      </c>
      <c r="G200">
        <v>40</v>
      </c>
      <c r="H200" t="s">
        <v>184</v>
      </c>
    </row>
    <row r="201" spans="1:8">
      <c r="A201">
        <v>3699</v>
      </c>
      <c r="B201" t="s">
        <v>339</v>
      </c>
      <c r="C201">
        <v>223</v>
      </c>
      <c r="D201">
        <v>6</v>
      </c>
      <c r="E201">
        <v>1338</v>
      </c>
      <c r="F201">
        <v>200</v>
      </c>
      <c r="G201">
        <v>40.1</v>
      </c>
      <c r="H201" t="s">
        <v>184</v>
      </c>
    </row>
    <row r="202" spans="1:8">
      <c r="A202">
        <v>1622</v>
      </c>
      <c r="B202" t="s">
        <v>340</v>
      </c>
      <c r="C202">
        <v>267</v>
      </c>
      <c r="D202">
        <v>5</v>
      </c>
      <c r="E202">
        <v>1335</v>
      </c>
      <c r="F202">
        <v>201</v>
      </c>
      <c r="G202">
        <v>40.200000000000003</v>
      </c>
      <c r="H202" t="s">
        <v>184</v>
      </c>
    </row>
    <row r="203" spans="1:8">
      <c r="A203">
        <v>435</v>
      </c>
      <c r="B203" t="s">
        <v>341</v>
      </c>
      <c r="C203">
        <v>266</v>
      </c>
      <c r="D203">
        <v>5</v>
      </c>
      <c r="E203">
        <v>1330</v>
      </c>
      <c r="F203">
        <v>202</v>
      </c>
      <c r="G203">
        <v>40.4</v>
      </c>
      <c r="H203" t="s">
        <v>184</v>
      </c>
    </row>
    <row r="204" spans="1:8">
      <c r="A204">
        <v>2863</v>
      </c>
      <c r="B204" t="s">
        <v>177</v>
      </c>
      <c r="C204">
        <v>221</v>
      </c>
      <c r="D204">
        <v>6</v>
      </c>
      <c r="E204">
        <v>1326</v>
      </c>
      <c r="F204">
        <v>203</v>
      </c>
      <c r="G204">
        <v>40.5</v>
      </c>
      <c r="H204" t="s">
        <v>184</v>
      </c>
    </row>
    <row r="205" spans="1:8">
      <c r="A205">
        <v>3075</v>
      </c>
      <c r="B205" t="s">
        <v>342</v>
      </c>
      <c r="C205">
        <v>221</v>
      </c>
      <c r="D205">
        <v>6</v>
      </c>
      <c r="E205">
        <v>1326</v>
      </c>
      <c r="F205">
        <v>204</v>
      </c>
      <c r="G205">
        <v>40.6</v>
      </c>
      <c r="H205" t="s">
        <v>184</v>
      </c>
    </row>
    <row r="206" spans="1:8">
      <c r="A206">
        <v>3464</v>
      </c>
      <c r="B206" t="s">
        <v>343</v>
      </c>
      <c r="C206">
        <v>221</v>
      </c>
      <c r="D206">
        <v>6</v>
      </c>
      <c r="E206">
        <v>1326</v>
      </c>
      <c r="F206">
        <v>205</v>
      </c>
      <c r="G206">
        <v>40.700000000000003</v>
      </c>
      <c r="H206" t="s">
        <v>184</v>
      </c>
    </row>
    <row r="207" spans="1:8">
      <c r="A207">
        <v>3642</v>
      </c>
      <c r="B207" t="s">
        <v>344</v>
      </c>
      <c r="C207">
        <v>220</v>
      </c>
      <c r="D207">
        <v>6</v>
      </c>
      <c r="E207">
        <v>1320</v>
      </c>
      <c r="F207">
        <v>206</v>
      </c>
      <c r="G207">
        <v>40.9</v>
      </c>
      <c r="H207" t="s">
        <v>184</v>
      </c>
    </row>
    <row r="208" spans="1:8">
      <c r="A208">
        <v>99</v>
      </c>
      <c r="B208" t="s">
        <v>345</v>
      </c>
      <c r="C208">
        <v>219</v>
      </c>
      <c r="D208">
        <v>6</v>
      </c>
      <c r="E208">
        <v>1314</v>
      </c>
      <c r="F208">
        <v>207</v>
      </c>
      <c r="G208">
        <v>41</v>
      </c>
      <c r="H208" t="s">
        <v>184</v>
      </c>
    </row>
    <row r="209" spans="1:8">
      <c r="A209">
        <v>2862</v>
      </c>
      <c r="B209" t="s">
        <v>346</v>
      </c>
      <c r="C209">
        <v>218</v>
      </c>
      <c r="D209">
        <v>6</v>
      </c>
      <c r="E209">
        <v>1308</v>
      </c>
      <c r="F209">
        <v>208</v>
      </c>
      <c r="G209">
        <v>41.1</v>
      </c>
      <c r="H209" t="s">
        <v>184</v>
      </c>
    </row>
    <row r="210" spans="1:8">
      <c r="A210">
        <v>3004</v>
      </c>
      <c r="B210" t="s">
        <v>347</v>
      </c>
      <c r="C210">
        <v>218</v>
      </c>
      <c r="D210">
        <v>6</v>
      </c>
      <c r="E210">
        <v>1308</v>
      </c>
      <c r="F210">
        <v>209</v>
      </c>
      <c r="G210">
        <v>41.2</v>
      </c>
      <c r="H210" t="s">
        <v>184</v>
      </c>
    </row>
    <row r="211" spans="1:8">
      <c r="A211">
        <v>3052</v>
      </c>
      <c r="B211" t="s">
        <v>348</v>
      </c>
      <c r="C211">
        <v>325</v>
      </c>
      <c r="D211">
        <v>4</v>
      </c>
      <c r="E211">
        <v>1300</v>
      </c>
      <c r="F211">
        <v>210</v>
      </c>
      <c r="G211">
        <v>41.4</v>
      </c>
      <c r="H211" t="s">
        <v>184</v>
      </c>
    </row>
    <row r="212" spans="1:8">
      <c r="A212">
        <v>1670</v>
      </c>
      <c r="B212" t="s">
        <v>94</v>
      </c>
      <c r="C212">
        <v>648</v>
      </c>
      <c r="D212">
        <v>2</v>
      </c>
      <c r="E212">
        <v>1296</v>
      </c>
      <c r="F212">
        <v>211</v>
      </c>
      <c r="G212">
        <v>41.5</v>
      </c>
      <c r="H212" t="s">
        <v>184</v>
      </c>
    </row>
    <row r="213" spans="1:8">
      <c r="A213">
        <v>104</v>
      </c>
      <c r="B213" t="s">
        <v>349</v>
      </c>
      <c r="C213">
        <v>215</v>
      </c>
      <c r="D213">
        <v>6</v>
      </c>
      <c r="E213">
        <v>1290</v>
      </c>
      <c r="F213">
        <v>212</v>
      </c>
      <c r="G213">
        <v>41.6</v>
      </c>
      <c r="H213" t="s">
        <v>184</v>
      </c>
    </row>
    <row r="214" spans="1:8">
      <c r="A214">
        <v>2985</v>
      </c>
      <c r="B214" t="s">
        <v>350</v>
      </c>
      <c r="C214">
        <v>320</v>
      </c>
      <c r="D214">
        <v>4</v>
      </c>
      <c r="E214">
        <v>1280</v>
      </c>
      <c r="F214">
        <v>213</v>
      </c>
      <c r="G214">
        <v>41.7</v>
      </c>
      <c r="H214" t="s">
        <v>184</v>
      </c>
    </row>
    <row r="215" spans="1:8">
      <c r="A215">
        <v>505</v>
      </c>
      <c r="B215" t="s">
        <v>351</v>
      </c>
      <c r="C215">
        <v>213</v>
      </c>
      <c r="D215">
        <v>6</v>
      </c>
      <c r="E215">
        <v>1278</v>
      </c>
      <c r="F215">
        <v>214</v>
      </c>
      <c r="G215">
        <v>41.8</v>
      </c>
      <c r="H215" t="s">
        <v>184</v>
      </c>
    </row>
    <row r="216" spans="1:8">
      <c r="A216">
        <v>167</v>
      </c>
      <c r="B216" t="s">
        <v>352</v>
      </c>
      <c r="C216">
        <v>212</v>
      </c>
      <c r="D216">
        <v>6</v>
      </c>
      <c r="E216">
        <v>1272</v>
      </c>
      <c r="F216">
        <v>215</v>
      </c>
      <c r="G216">
        <v>42</v>
      </c>
      <c r="H216" t="s">
        <v>184</v>
      </c>
    </row>
    <row r="217" spans="1:8">
      <c r="A217">
        <v>2871</v>
      </c>
      <c r="B217" t="s">
        <v>353</v>
      </c>
      <c r="C217">
        <v>212</v>
      </c>
      <c r="D217">
        <v>6</v>
      </c>
      <c r="E217">
        <v>1272</v>
      </c>
      <c r="F217">
        <v>216</v>
      </c>
      <c r="G217">
        <v>42.1</v>
      </c>
      <c r="H217" t="s">
        <v>184</v>
      </c>
    </row>
    <row r="218" spans="1:8">
      <c r="A218">
        <v>3690</v>
      </c>
      <c r="B218" t="s">
        <v>354</v>
      </c>
      <c r="C218">
        <v>212</v>
      </c>
      <c r="D218">
        <v>6</v>
      </c>
      <c r="E218">
        <v>1272</v>
      </c>
      <c r="F218">
        <v>217</v>
      </c>
      <c r="G218">
        <v>42.2</v>
      </c>
      <c r="H218" t="s">
        <v>184</v>
      </c>
    </row>
    <row r="219" spans="1:8">
      <c r="A219">
        <v>363</v>
      </c>
      <c r="B219" t="s">
        <v>355</v>
      </c>
      <c r="C219">
        <v>211</v>
      </c>
      <c r="D219">
        <v>6</v>
      </c>
      <c r="E219">
        <v>1266</v>
      </c>
      <c r="F219">
        <v>218</v>
      </c>
      <c r="G219">
        <v>42.3</v>
      </c>
      <c r="H219" t="s">
        <v>184</v>
      </c>
    </row>
    <row r="220" spans="1:8">
      <c r="A220">
        <v>3517</v>
      </c>
      <c r="B220" t="s">
        <v>356</v>
      </c>
      <c r="C220">
        <v>211</v>
      </c>
      <c r="D220">
        <v>6</v>
      </c>
      <c r="E220">
        <v>1266</v>
      </c>
      <c r="F220">
        <v>219</v>
      </c>
      <c r="G220">
        <v>42.4</v>
      </c>
      <c r="H220" t="s">
        <v>184</v>
      </c>
    </row>
    <row r="221" spans="1:8">
      <c r="A221">
        <v>3708</v>
      </c>
      <c r="B221" t="s">
        <v>357</v>
      </c>
      <c r="C221">
        <v>316</v>
      </c>
      <c r="D221">
        <v>4</v>
      </c>
      <c r="E221">
        <v>1264</v>
      </c>
      <c r="F221">
        <v>220</v>
      </c>
      <c r="G221">
        <v>42.6</v>
      </c>
      <c r="H221" t="s">
        <v>184</v>
      </c>
    </row>
    <row r="222" spans="1:8">
      <c r="A222">
        <v>107</v>
      </c>
      <c r="B222" t="s">
        <v>358</v>
      </c>
      <c r="C222">
        <v>210</v>
      </c>
      <c r="D222">
        <v>6</v>
      </c>
      <c r="E222">
        <v>1260</v>
      </c>
      <c r="F222">
        <v>221</v>
      </c>
      <c r="G222">
        <v>42.7</v>
      </c>
      <c r="H222" t="s">
        <v>184</v>
      </c>
    </row>
    <row r="223" spans="1:8">
      <c r="A223">
        <v>2822</v>
      </c>
      <c r="B223" t="s">
        <v>359</v>
      </c>
      <c r="C223">
        <v>210</v>
      </c>
      <c r="D223">
        <v>6</v>
      </c>
      <c r="E223">
        <v>1260</v>
      </c>
      <c r="F223">
        <v>222</v>
      </c>
      <c r="G223">
        <v>42.8</v>
      </c>
      <c r="H223" t="s">
        <v>184</v>
      </c>
    </row>
    <row r="224" spans="1:8">
      <c r="A224">
        <v>2866</v>
      </c>
      <c r="B224" t="s">
        <v>360</v>
      </c>
      <c r="C224">
        <v>315</v>
      </c>
      <c r="D224">
        <v>4</v>
      </c>
      <c r="E224">
        <v>1260</v>
      </c>
      <c r="F224">
        <v>223</v>
      </c>
      <c r="G224">
        <v>42.9</v>
      </c>
      <c r="H224" t="s">
        <v>184</v>
      </c>
    </row>
    <row r="225" spans="1:8">
      <c r="A225">
        <v>414</v>
      </c>
      <c r="B225" t="s">
        <v>361</v>
      </c>
      <c r="C225">
        <v>250</v>
      </c>
      <c r="D225">
        <v>5</v>
      </c>
      <c r="E225">
        <v>1250</v>
      </c>
      <c r="F225">
        <v>224</v>
      </c>
      <c r="G225">
        <v>43</v>
      </c>
      <c r="H225" t="s">
        <v>184</v>
      </c>
    </row>
    <row r="226" spans="1:8">
      <c r="A226">
        <v>501</v>
      </c>
      <c r="B226" t="s">
        <v>362</v>
      </c>
      <c r="C226">
        <v>250</v>
      </c>
      <c r="D226">
        <v>5</v>
      </c>
      <c r="E226">
        <v>1250</v>
      </c>
      <c r="F226">
        <v>225</v>
      </c>
      <c r="G226">
        <v>43.2</v>
      </c>
      <c r="H226" t="s">
        <v>184</v>
      </c>
    </row>
    <row r="227" spans="1:8">
      <c r="A227">
        <v>2977</v>
      </c>
      <c r="B227" t="s">
        <v>363</v>
      </c>
      <c r="C227">
        <v>250</v>
      </c>
      <c r="D227">
        <v>5</v>
      </c>
      <c r="E227">
        <v>1250</v>
      </c>
      <c r="F227">
        <v>226</v>
      </c>
      <c r="G227">
        <v>43.3</v>
      </c>
      <c r="H227" t="s">
        <v>184</v>
      </c>
    </row>
    <row r="228" spans="1:8">
      <c r="A228">
        <v>182</v>
      </c>
      <c r="B228" t="s">
        <v>364</v>
      </c>
      <c r="C228">
        <v>208</v>
      </c>
      <c r="D228">
        <v>6</v>
      </c>
      <c r="E228">
        <v>1248</v>
      </c>
      <c r="F228">
        <v>227</v>
      </c>
      <c r="G228">
        <v>43.4</v>
      </c>
      <c r="H228" t="s">
        <v>184</v>
      </c>
    </row>
    <row r="229" spans="1:8">
      <c r="A229">
        <v>335</v>
      </c>
      <c r="B229" t="s">
        <v>365</v>
      </c>
      <c r="C229">
        <v>208</v>
      </c>
      <c r="D229">
        <v>6</v>
      </c>
      <c r="E229">
        <v>1248</v>
      </c>
      <c r="F229">
        <v>228</v>
      </c>
      <c r="G229">
        <v>43.5</v>
      </c>
      <c r="H229" t="s">
        <v>184</v>
      </c>
    </row>
    <row r="230" spans="1:8">
      <c r="A230">
        <v>1200</v>
      </c>
      <c r="B230" t="s">
        <v>366</v>
      </c>
      <c r="C230">
        <v>206</v>
      </c>
      <c r="D230">
        <v>6</v>
      </c>
      <c r="E230">
        <v>1236</v>
      </c>
      <c r="F230">
        <v>229</v>
      </c>
      <c r="G230">
        <v>43.6</v>
      </c>
      <c r="H230" t="s">
        <v>184</v>
      </c>
    </row>
    <row r="231" spans="1:8">
      <c r="A231">
        <v>2975</v>
      </c>
      <c r="B231" t="s">
        <v>367</v>
      </c>
      <c r="C231">
        <v>247</v>
      </c>
      <c r="D231">
        <v>5</v>
      </c>
      <c r="E231">
        <v>1235</v>
      </c>
      <c r="F231">
        <v>230</v>
      </c>
      <c r="G231">
        <v>43.7</v>
      </c>
      <c r="H231" t="s">
        <v>184</v>
      </c>
    </row>
    <row r="232" spans="1:8">
      <c r="A232">
        <v>234</v>
      </c>
      <c r="B232" t="s">
        <v>368</v>
      </c>
      <c r="C232">
        <v>205</v>
      </c>
      <c r="D232">
        <v>6</v>
      </c>
      <c r="E232">
        <v>1230</v>
      </c>
      <c r="F232">
        <v>231</v>
      </c>
      <c r="G232">
        <v>43.9</v>
      </c>
      <c r="H232" t="s">
        <v>184</v>
      </c>
    </row>
    <row r="233" spans="1:8">
      <c r="A233">
        <v>539</v>
      </c>
      <c r="B233" t="s">
        <v>369</v>
      </c>
      <c r="C233">
        <v>205</v>
      </c>
      <c r="D233">
        <v>6</v>
      </c>
      <c r="E233">
        <v>1230</v>
      </c>
      <c r="F233">
        <v>232</v>
      </c>
      <c r="G233">
        <v>44</v>
      </c>
      <c r="H233" t="s">
        <v>184</v>
      </c>
    </row>
    <row r="234" spans="1:8">
      <c r="A234">
        <v>3647</v>
      </c>
      <c r="B234" t="s">
        <v>370</v>
      </c>
      <c r="C234">
        <v>205</v>
      </c>
      <c r="D234">
        <v>6</v>
      </c>
      <c r="E234">
        <v>1230</v>
      </c>
      <c r="F234">
        <v>233</v>
      </c>
      <c r="G234">
        <v>44.1</v>
      </c>
      <c r="H234" t="s">
        <v>184</v>
      </c>
    </row>
    <row r="235" spans="1:8">
      <c r="A235">
        <v>3661</v>
      </c>
      <c r="B235" t="s">
        <v>371</v>
      </c>
      <c r="C235">
        <v>205</v>
      </c>
      <c r="D235">
        <v>6</v>
      </c>
      <c r="E235">
        <v>1230</v>
      </c>
      <c r="F235">
        <v>234</v>
      </c>
      <c r="G235">
        <v>44.2</v>
      </c>
      <c r="H235" t="s">
        <v>184</v>
      </c>
    </row>
    <row r="236" spans="1:8">
      <c r="A236">
        <v>3681</v>
      </c>
      <c r="B236" t="s">
        <v>372</v>
      </c>
      <c r="C236">
        <v>205</v>
      </c>
      <c r="D236">
        <v>6</v>
      </c>
      <c r="E236">
        <v>1230</v>
      </c>
      <c r="F236">
        <v>235</v>
      </c>
      <c r="G236">
        <v>44.3</v>
      </c>
      <c r="H236" t="s">
        <v>184</v>
      </c>
    </row>
    <row r="237" spans="1:8">
      <c r="A237">
        <v>1716</v>
      </c>
      <c r="B237" t="s">
        <v>373</v>
      </c>
      <c r="C237">
        <v>610</v>
      </c>
      <c r="D237">
        <v>2</v>
      </c>
      <c r="E237">
        <v>1220</v>
      </c>
      <c r="F237">
        <v>236</v>
      </c>
      <c r="G237">
        <v>44.4</v>
      </c>
      <c r="H237" t="s">
        <v>184</v>
      </c>
    </row>
    <row r="238" spans="1:8">
      <c r="A238">
        <v>118</v>
      </c>
      <c r="B238" t="s">
        <v>374</v>
      </c>
      <c r="C238">
        <v>203</v>
      </c>
      <c r="D238">
        <v>6</v>
      </c>
      <c r="E238">
        <v>1218</v>
      </c>
      <c r="F238">
        <v>237</v>
      </c>
      <c r="G238">
        <v>44.6</v>
      </c>
      <c r="H238" t="s">
        <v>184</v>
      </c>
    </row>
    <row r="239" spans="1:8">
      <c r="A239">
        <v>2986</v>
      </c>
      <c r="B239" t="s">
        <v>375</v>
      </c>
      <c r="C239">
        <v>203</v>
      </c>
      <c r="D239">
        <v>6</v>
      </c>
      <c r="E239">
        <v>1218</v>
      </c>
      <c r="F239">
        <v>238</v>
      </c>
      <c r="G239">
        <v>44.7</v>
      </c>
      <c r="H239" t="s">
        <v>184</v>
      </c>
    </row>
    <row r="240" spans="1:8">
      <c r="A240">
        <v>1706</v>
      </c>
      <c r="B240" t="s">
        <v>376</v>
      </c>
      <c r="C240">
        <v>608</v>
      </c>
      <c r="D240">
        <v>2</v>
      </c>
      <c r="E240">
        <v>1216</v>
      </c>
      <c r="F240">
        <v>239</v>
      </c>
      <c r="G240">
        <v>44.8</v>
      </c>
      <c r="H240" t="s">
        <v>184</v>
      </c>
    </row>
    <row r="241" spans="1:8">
      <c r="A241">
        <v>507</v>
      </c>
      <c r="B241" t="s">
        <v>377</v>
      </c>
      <c r="C241">
        <v>200</v>
      </c>
      <c r="D241">
        <v>6</v>
      </c>
      <c r="E241">
        <v>1200</v>
      </c>
      <c r="F241">
        <v>240</v>
      </c>
      <c r="G241">
        <v>44.9</v>
      </c>
      <c r="H241" t="s">
        <v>184</v>
      </c>
    </row>
    <row r="242" spans="1:8">
      <c r="A242">
        <v>1648</v>
      </c>
      <c r="B242" t="s">
        <v>378</v>
      </c>
      <c r="C242">
        <v>200</v>
      </c>
      <c r="D242">
        <v>6</v>
      </c>
      <c r="E242">
        <v>1200</v>
      </c>
      <c r="F242">
        <v>241</v>
      </c>
      <c r="G242">
        <v>45</v>
      </c>
      <c r="H242" t="s">
        <v>184</v>
      </c>
    </row>
    <row r="243" spans="1:8">
      <c r="A243">
        <v>1654</v>
      </c>
      <c r="B243" t="s">
        <v>379</v>
      </c>
      <c r="C243">
        <v>200</v>
      </c>
      <c r="D243">
        <v>6</v>
      </c>
      <c r="E243">
        <v>1200</v>
      </c>
      <c r="F243">
        <v>242</v>
      </c>
      <c r="G243">
        <v>45.1</v>
      </c>
      <c r="H243" t="s">
        <v>184</v>
      </c>
    </row>
    <row r="244" spans="1:8">
      <c r="A244">
        <v>1657</v>
      </c>
      <c r="B244" t="s">
        <v>380</v>
      </c>
      <c r="C244">
        <v>200</v>
      </c>
      <c r="D244">
        <v>6</v>
      </c>
      <c r="E244">
        <v>1200</v>
      </c>
      <c r="F244">
        <v>243</v>
      </c>
      <c r="G244">
        <v>45.2</v>
      </c>
      <c r="H244" t="s">
        <v>184</v>
      </c>
    </row>
    <row r="245" spans="1:8">
      <c r="A245">
        <v>3051</v>
      </c>
      <c r="B245" t="s">
        <v>149</v>
      </c>
      <c r="C245">
        <v>200</v>
      </c>
      <c r="D245">
        <v>6</v>
      </c>
      <c r="E245">
        <v>1200</v>
      </c>
      <c r="F245">
        <v>244</v>
      </c>
      <c r="G245">
        <v>45.4</v>
      </c>
      <c r="H245" t="s">
        <v>184</v>
      </c>
    </row>
    <row r="246" spans="1:8">
      <c r="A246">
        <v>106</v>
      </c>
      <c r="B246" t="s">
        <v>381</v>
      </c>
      <c r="C246">
        <v>199</v>
      </c>
      <c r="D246">
        <v>6</v>
      </c>
      <c r="E246">
        <v>1194</v>
      </c>
      <c r="F246">
        <v>245</v>
      </c>
      <c r="G246">
        <v>45.5</v>
      </c>
      <c r="H246" t="s">
        <v>184</v>
      </c>
    </row>
    <row r="247" spans="1:8">
      <c r="A247">
        <v>134</v>
      </c>
      <c r="B247" t="s">
        <v>382</v>
      </c>
      <c r="C247">
        <v>199</v>
      </c>
      <c r="D247">
        <v>6</v>
      </c>
      <c r="E247">
        <v>1194</v>
      </c>
      <c r="F247">
        <v>246</v>
      </c>
      <c r="G247">
        <v>45.6</v>
      </c>
      <c r="H247" t="s">
        <v>184</v>
      </c>
    </row>
    <row r="248" spans="1:8">
      <c r="A248">
        <v>141</v>
      </c>
      <c r="B248" t="s">
        <v>383</v>
      </c>
      <c r="C248">
        <v>199</v>
      </c>
      <c r="D248">
        <v>6</v>
      </c>
      <c r="E248">
        <v>1194</v>
      </c>
      <c r="F248">
        <v>247</v>
      </c>
      <c r="G248">
        <v>45.7</v>
      </c>
      <c r="H248" t="s">
        <v>184</v>
      </c>
    </row>
    <row r="249" spans="1:8">
      <c r="A249">
        <v>2796</v>
      </c>
      <c r="B249" t="s">
        <v>384</v>
      </c>
      <c r="C249">
        <v>199</v>
      </c>
      <c r="D249">
        <v>6</v>
      </c>
      <c r="E249">
        <v>1194</v>
      </c>
      <c r="F249">
        <v>248</v>
      </c>
      <c r="G249">
        <v>45.8</v>
      </c>
      <c r="H249" t="s">
        <v>184</v>
      </c>
    </row>
    <row r="250" spans="1:8">
      <c r="A250">
        <v>2995</v>
      </c>
      <c r="B250" t="s">
        <v>385</v>
      </c>
      <c r="C250">
        <v>199</v>
      </c>
      <c r="D250">
        <v>6</v>
      </c>
      <c r="E250">
        <v>1194</v>
      </c>
      <c r="F250">
        <v>249</v>
      </c>
      <c r="G250">
        <v>45.9</v>
      </c>
      <c r="H250" t="s">
        <v>184</v>
      </c>
    </row>
    <row r="251" spans="1:8">
      <c r="A251">
        <v>3015</v>
      </c>
      <c r="B251" t="s">
        <v>386</v>
      </c>
      <c r="C251">
        <v>199</v>
      </c>
      <c r="D251">
        <v>6</v>
      </c>
      <c r="E251">
        <v>1194</v>
      </c>
      <c r="F251">
        <v>250</v>
      </c>
      <c r="G251">
        <v>46</v>
      </c>
      <c r="H251" t="s">
        <v>184</v>
      </c>
    </row>
    <row r="252" spans="1:8">
      <c r="A252">
        <v>3036</v>
      </c>
      <c r="B252" t="s">
        <v>387</v>
      </c>
      <c r="C252">
        <v>199</v>
      </c>
      <c r="D252">
        <v>6</v>
      </c>
      <c r="E252">
        <v>1194</v>
      </c>
      <c r="F252">
        <v>251</v>
      </c>
      <c r="G252">
        <v>46.1</v>
      </c>
      <c r="H252" t="s">
        <v>184</v>
      </c>
    </row>
    <row r="253" spans="1:8">
      <c r="A253">
        <v>3056</v>
      </c>
      <c r="B253" t="s">
        <v>388</v>
      </c>
      <c r="C253">
        <v>199</v>
      </c>
      <c r="D253">
        <v>6</v>
      </c>
      <c r="E253">
        <v>1194</v>
      </c>
      <c r="F253">
        <v>252</v>
      </c>
      <c r="G253">
        <v>46.3</v>
      </c>
      <c r="H253" t="s">
        <v>184</v>
      </c>
    </row>
    <row r="254" spans="1:8">
      <c r="A254">
        <v>3719</v>
      </c>
      <c r="B254" t="s">
        <v>389</v>
      </c>
      <c r="C254">
        <v>199</v>
      </c>
      <c r="D254">
        <v>6</v>
      </c>
      <c r="E254">
        <v>1194</v>
      </c>
      <c r="F254">
        <v>253</v>
      </c>
      <c r="G254">
        <v>46.4</v>
      </c>
      <c r="H254" t="s">
        <v>184</v>
      </c>
    </row>
    <row r="255" spans="1:8">
      <c r="A255">
        <v>210</v>
      </c>
      <c r="B255" t="s">
        <v>390</v>
      </c>
      <c r="C255">
        <v>198</v>
      </c>
      <c r="D255">
        <v>6</v>
      </c>
      <c r="E255">
        <v>1188</v>
      </c>
      <c r="F255">
        <v>254</v>
      </c>
      <c r="G255">
        <v>46.5</v>
      </c>
      <c r="H255" t="s">
        <v>184</v>
      </c>
    </row>
    <row r="256" spans="1:8">
      <c r="A256">
        <v>3591</v>
      </c>
      <c r="B256" t="s">
        <v>391</v>
      </c>
      <c r="C256">
        <v>198</v>
      </c>
      <c r="D256">
        <v>6</v>
      </c>
      <c r="E256">
        <v>1188</v>
      </c>
      <c r="F256">
        <v>255</v>
      </c>
      <c r="G256">
        <v>46.6</v>
      </c>
      <c r="H256" t="s">
        <v>184</v>
      </c>
    </row>
    <row r="257" spans="1:8">
      <c r="A257">
        <v>500</v>
      </c>
      <c r="B257" t="s">
        <v>392</v>
      </c>
      <c r="C257">
        <v>295</v>
      </c>
      <c r="D257">
        <v>4</v>
      </c>
      <c r="E257">
        <v>1180</v>
      </c>
      <c r="F257">
        <v>256</v>
      </c>
      <c r="G257">
        <v>46.7</v>
      </c>
      <c r="H257" t="s">
        <v>184</v>
      </c>
    </row>
    <row r="258" spans="1:8">
      <c r="A258">
        <v>1581</v>
      </c>
      <c r="B258" t="s">
        <v>393</v>
      </c>
      <c r="C258">
        <v>234</v>
      </c>
      <c r="D258">
        <v>5</v>
      </c>
      <c r="E258">
        <v>1170</v>
      </c>
      <c r="F258">
        <v>257</v>
      </c>
      <c r="G258">
        <v>46.8</v>
      </c>
      <c r="H258" t="s">
        <v>184</v>
      </c>
    </row>
    <row r="259" spans="1:8">
      <c r="A259">
        <v>1193</v>
      </c>
      <c r="B259" t="s">
        <v>394</v>
      </c>
      <c r="C259">
        <v>194</v>
      </c>
      <c r="D259">
        <v>6</v>
      </c>
      <c r="E259">
        <v>1164</v>
      </c>
      <c r="F259">
        <v>258</v>
      </c>
      <c r="G259">
        <v>46.9</v>
      </c>
      <c r="H259" t="s">
        <v>184</v>
      </c>
    </row>
    <row r="260" spans="1:8">
      <c r="A260">
        <v>2829</v>
      </c>
      <c r="B260" t="s">
        <v>395</v>
      </c>
      <c r="C260">
        <v>194</v>
      </c>
      <c r="D260">
        <v>6</v>
      </c>
      <c r="E260">
        <v>1164</v>
      </c>
      <c r="F260">
        <v>259</v>
      </c>
      <c r="G260">
        <v>47</v>
      </c>
      <c r="H260" t="s">
        <v>184</v>
      </c>
    </row>
    <row r="261" spans="1:8">
      <c r="A261">
        <v>1409</v>
      </c>
      <c r="B261" t="s">
        <v>396</v>
      </c>
      <c r="C261">
        <v>193</v>
      </c>
      <c r="D261">
        <v>6</v>
      </c>
      <c r="E261">
        <v>1158</v>
      </c>
      <c r="F261">
        <v>260</v>
      </c>
      <c r="G261">
        <v>47.1</v>
      </c>
      <c r="H261" t="s">
        <v>184</v>
      </c>
    </row>
    <row r="262" spans="1:8">
      <c r="A262">
        <v>1636</v>
      </c>
      <c r="B262" t="s">
        <v>397</v>
      </c>
      <c r="C262">
        <v>383</v>
      </c>
      <c r="D262">
        <v>3</v>
      </c>
      <c r="E262">
        <v>1149</v>
      </c>
      <c r="F262">
        <v>261</v>
      </c>
      <c r="G262">
        <v>47.3</v>
      </c>
      <c r="H262" t="s">
        <v>184</v>
      </c>
    </row>
    <row r="263" spans="1:8">
      <c r="A263">
        <v>1598</v>
      </c>
      <c r="B263" t="s">
        <v>398</v>
      </c>
      <c r="C263">
        <v>191</v>
      </c>
      <c r="D263">
        <v>6</v>
      </c>
      <c r="E263">
        <v>1146</v>
      </c>
      <c r="F263">
        <v>262</v>
      </c>
      <c r="G263">
        <v>47.4</v>
      </c>
      <c r="H263" t="s">
        <v>184</v>
      </c>
    </row>
    <row r="264" spans="1:8">
      <c r="A264">
        <v>1680</v>
      </c>
      <c r="B264" t="s">
        <v>399</v>
      </c>
      <c r="C264">
        <v>191</v>
      </c>
      <c r="D264">
        <v>6</v>
      </c>
      <c r="E264">
        <v>1146</v>
      </c>
      <c r="F264">
        <v>263</v>
      </c>
      <c r="G264">
        <v>47.5</v>
      </c>
      <c r="H264" t="s">
        <v>184</v>
      </c>
    </row>
    <row r="265" spans="1:8">
      <c r="A265">
        <v>1707</v>
      </c>
      <c r="B265" t="s">
        <v>400</v>
      </c>
      <c r="C265">
        <v>191</v>
      </c>
      <c r="D265">
        <v>6</v>
      </c>
      <c r="E265">
        <v>1146</v>
      </c>
      <c r="F265">
        <v>264</v>
      </c>
      <c r="G265">
        <v>47.6</v>
      </c>
      <c r="H265" t="s">
        <v>184</v>
      </c>
    </row>
    <row r="266" spans="1:8">
      <c r="A266">
        <v>162</v>
      </c>
      <c r="B266" t="s">
        <v>401</v>
      </c>
      <c r="C266">
        <v>190</v>
      </c>
      <c r="D266">
        <v>6</v>
      </c>
      <c r="E266">
        <v>1140</v>
      </c>
      <c r="F266">
        <v>265</v>
      </c>
      <c r="G266">
        <v>47.7</v>
      </c>
      <c r="H266" t="s">
        <v>184</v>
      </c>
    </row>
    <row r="267" spans="1:8">
      <c r="A267">
        <v>1566</v>
      </c>
      <c r="B267" t="s">
        <v>402</v>
      </c>
      <c r="C267">
        <v>190</v>
      </c>
      <c r="D267">
        <v>6</v>
      </c>
      <c r="E267">
        <v>1140</v>
      </c>
      <c r="F267">
        <v>266</v>
      </c>
      <c r="G267">
        <v>47.8</v>
      </c>
      <c r="H267" t="s">
        <v>184</v>
      </c>
    </row>
    <row r="268" spans="1:8">
      <c r="A268">
        <v>2775</v>
      </c>
      <c r="B268" t="s">
        <v>403</v>
      </c>
      <c r="C268">
        <v>190</v>
      </c>
      <c r="D268">
        <v>6</v>
      </c>
      <c r="E268">
        <v>1140</v>
      </c>
      <c r="F268">
        <v>267</v>
      </c>
      <c r="G268">
        <v>47.9</v>
      </c>
      <c r="H268" t="s">
        <v>184</v>
      </c>
    </row>
    <row r="269" spans="1:8">
      <c r="A269">
        <v>2830</v>
      </c>
      <c r="B269" t="s">
        <v>404</v>
      </c>
      <c r="C269">
        <v>380</v>
      </c>
      <c r="D269">
        <v>3</v>
      </c>
      <c r="E269">
        <v>1140</v>
      </c>
      <c r="F269">
        <v>268</v>
      </c>
      <c r="G269">
        <v>48</v>
      </c>
      <c r="H269" t="s">
        <v>184</v>
      </c>
    </row>
    <row r="270" spans="1:8">
      <c r="A270">
        <v>2961</v>
      </c>
      <c r="B270" t="s">
        <v>100</v>
      </c>
      <c r="C270">
        <v>190</v>
      </c>
      <c r="D270">
        <v>6</v>
      </c>
      <c r="E270">
        <v>1140</v>
      </c>
      <c r="F270">
        <v>269</v>
      </c>
      <c r="G270">
        <v>48.1</v>
      </c>
      <c r="H270" t="s">
        <v>184</v>
      </c>
    </row>
    <row r="271" spans="1:8">
      <c r="A271">
        <v>1188</v>
      </c>
      <c r="B271" t="s">
        <v>405</v>
      </c>
      <c r="C271">
        <v>189</v>
      </c>
      <c r="D271">
        <v>6</v>
      </c>
      <c r="E271">
        <v>1134</v>
      </c>
      <c r="F271">
        <v>270</v>
      </c>
      <c r="G271">
        <v>48.2</v>
      </c>
      <c r="H271" t="s">
        <v>184</v>
      </c>
    </row>
    <row r="272" spans="1:8">
      <c r="A272">
        <v>1215</v>
      </c>
      <c r="B272" t="s">
        <v>406</v>
      </c>
      <c r="C272">
        <v>189</v>
      </c>
      <c r="D272">
        <v>6</v>
      </c>
      <c r="E272">
        <v>1134</v>
      </c>
      <c r="F272">
        <v>271</v>
      </c>
      <c r="G272">
        <v>48.3</v>
      </c>
      <c r="H272" t="s">
        <v>184</v>
      </c>
    </row>
    <row r="273" spans="1:8">
      <c r="A273">
        <v>2818</v>
      </c>
      <c r="B273" t="s">
        <v>407</v>
      </c>
      <c r="C273">
        <v>189</v>
      </c>
      <c r="D273">
        <v>6</v>
      </c>
      <c r="E273">
        <v>1134</v>
      </c>
      <c r="F273">
        <v>272</v>
      </c>
      <c r="G273">
        <v>48.4</v>
      </c>
      <c r="H273" t="s">
        <v>184</v>
      </c>
    </row>
    <row r="274" spans="1:8">
      <c r="A274">
        <v>3475</v>
      </c>
      <c r="B274" t="s">
        <v>408</v>
      </c>
      <c r="C274">
        <v>189</v>
      </c>
      <c r="D274">
        <v>6</v>
      </c>
      <c r="E274">
        <v>1134</v>
      </c>
      <c r="F274">
        <v>273</v>
      </c>
      <c r="G274">
        <v>48.5</v>
      </c>
      <c r="H274" t="s">
        <v>184</v>
      </c>
    </row>
    <row r="275" spans="1:8">
      <c r="A275">
        <v>3068</v>
      </c>
      <c r="B275" t="s">
        <v>168</v>
      </c>
      <c r="C275">
        <v>188</v>
      </c>
      <c r="D275">
        <v>6</v>
      </c>
      <c r="E275">
        <v>1128</v>
      </c>
      <c r="F275">
        <v>274</v>
      </c>
      <c r="G275">
        <v>48.7</v>
      </c>
      <c r="H275" t="s">
        <v>184</v>
      </c>
    </row>
    <row r="276" spans="1:8">
      <c r="A276">
        <v>3562</v>
      </c>
      <c r="B276" t="s">
        <v>409</v>
      </c>
      <c r="C276">
        <v>188</v>
      </c>
      <c r="D276">
        <v>6</v>
      </c>
      <c r="E276">
        <v>1128</v>
      </c>
      <c r="F276">
        <v>275</v>
      </c>
      <c r="G276">
        <v>48.8</v>
      </c>
      <c r="H276" t="s">
        <v>184</v>
      </c>
    </row>
    <row r="277" spans="1:8">
      <c r="A277">
        <v>3574</v>
      </c>
      <c r="B277" t="s">
        <v>121</v>
      </c>
      <c r="C277">
        <v>188</v>
      </c>
      <c r="D277">
        <v>6</v>
      </c>
      <c r="E277">
        <v>1128</v>
      </c>
      <c r="F277">
        <v>276</v>
      </c>
      <c r="G277">
        <v>48.9</v>
      </c>
      <c r="H277" t="s">
        <v>184</v>
      </c>
    </row>
    <row r="278" spans="1:8">
      <c r="A278">
        <v>190</v>
      </c>
      <c r="B278" t="s">
        <v>131</v>
      </c>
      <c r="C278">
        <v>184</v>
      </c>
      <c r="D278">
        <v>6</v>
      </c>
      <c r="E278">
        <v>1104</v>
      </c>
      <c r="F278">
        <v>277</v>
      </c>
      <c r="G278">
        <v>49</v>
      </c>
      <c r="H278" t="s">
        <v>184</v>
      </c>
    </row>
    <row r="279" spans="1:8">
      <c r="A279">
        <v>2978</v>
      </c>
      <c r="B279" t="s">
        <v>410</v>
      </c>
      <c r="C279">
        <v>220</v>
      </c>
      <c r="D279">
        <v>5</v>
      </c>
      <c r="E279">
        <v>1100</v>
      </c>
      <c r="F279">
        <v>278</v>
      </c>
      <c r="G279">
        <v>49.1</v>
      </c>
      <c r="H279" t="s">
        <v>184</v>
      </c>
    </row>
    <row r="280" spans="1:8">
      <c r="A280">
        <v>3707</v>
      </c>
      <c r="B280" t="s">
        <v>411</v>
      </c>
      <c r="C280">
        <v>182</v>
      </c>
      <c r="D280">
        <v>6</v>
      </c>
      <c r="E280">
        <v>1092</v>
      </c>
      <c r="F280">
        <v>279</v>
      </c>
      <c r="G280">
        <v>49.2</v>
      </c>
      <c r="H280" t="s">
        <v>184</v>
      </c>
    </row>
    <row r="281" spans="1:8">
      <c r="A281">
        <v>2547</v>
      </c>
      <c r="B281" t="s">
        <v>412</v>
      </c>
      <c r="C281">
        <v>270</v>
      </c>
      <c r="D281">
        <v>4</v>
      </c>
      <c r="E281">
        <v>1080</v>
      </c>
      <c r="F281">
        <v>280</v>
      </c>
      <c r="G281">
        <v>49.3</v>
      </c>
      <c r="H281" t="s">
        <v>184</v>
      </c>
    </row>
    <row r="282" spans="1:8">
      <c r="A282">
        <v>2894</v>
      </c>
      <c r="B282" t="s">
        <v>413</v>
      </c>
      <c r="C282">
        <v>180</v>
      </c>
      <c r="D282">
        <v>6</v>
      </c>
      <c r="E282">
        <v>1080</v>
      </c>
      <c r="F282">
        <v>281</v>
      </c>
      <c r="G282">
        <v>49.4</v>
      </c>
      <c r="H282" t="s">
        <v>184</v>
      </c>
    </row>
    <row r="283" spans="1:8">
      <c r="A283">
        <v>2908</v>
      </c>
      <c r="B283" t="s">
        <v>414</v>
      </c>
      <c r="C283">
        <v>540</v>
      </c>
      <c r="D283">
        <v>2</v>
      </c>
      <c r="E283">
        <v>1080</v>
      </c>
      <c r="F283">
        <v>282</v>
      </c>
      <c r="G283">
        <v>49.5</v>
      </c>
      <c r="H283" t="s">
        <v>184</v>
      </c>
    </row>
    <row r="284" spans="1:8">
      <c r="A284">
        <v>2946</v>
      </c>
      <c r="B284" t="s">
        <v>415</v>
      </c>
      <c r="C284">
        <v>180</v>
      </c>
      <c r="D284">
        <v>6</v>
      </c>
      <c r="E284">
        <v>1080</v>
      </c>
      <c r="F284">
        <v>283</v>
      </c>
      <c r="G284">
        <v>49.6</v>
      </c>
      <c r="H284" t="s">
        <v>184</v>
      </c>
    </row>
    <row r="285" spans="1:8">
      <c r="A285">
        <v>2962</v>
      </c>
      <c r="B285" t="s">
        <v>416</v>
      </c>
      <c r="C285">
        <v>180</v>
      </c>
      <c r="D285">
        <v>6</v>
      </c>
      <c r="E285">
        <v>1080</v>
      </c>
      <c r="F285">
        <v>284</v>
      </c>
      <c r="G285">
        <v>49.7</v>
      </c>
      <c r="H285" t="s">
        <v>184</v>
      </c>
    </row>
    <row r="286" spans="1:8">
      <c r="A286">
        <v>2970</v>
      </c>
      <c r="B286" t="s">
        <v>417</v>
      </c>
      <c r="C286">
        <v>180</v>
      </c>
      <c r="D286">
        <v>6</v>
      </c>
      <c r="E286">
        <v>1080</v>
      </c>
      <c r="F286">
        <v>285</v>
      </c>
      <c r="G286">
        <v>49.8</v>
      </c>
      <c r="H286" t="s">
        <v>184</v>
      </c>
    </row>
    <row r="287" spans="1:8">
      <c r="A287">
        <v>3001</v>
      </c>
      <c r="B287" t="s">
        <v>418</v>
      </c>
      <c r="C287">
        <v>180</v>
      </c>
      <c r="D287">
        <v>6</v>
      </c>
      <c r="E287">
        <v>1080</v>
      </c>
      <c r="F287">
        <v>286</v>
      </c>
      <c r="G287">
        <v>49.9</v>
      </c>
      <c r="H287" t="s">
        <v>184</v>
      </c>
    </row>
    <row r="288" spans="1:8">
      <c r="A288">
        <v>3504</v>
      </c>
      <c r="B288" t="s">
        <v>419</v>
      </c>
      <c r="C288">
        <v>180</v>
      </c>
      <c r="D288">
        <v>6</v>
      </c>
      <c r="E288">
        <v>1080</v>
      </c>
      <c r="F288">
        <v>287</v>
      </c>
      <c r="G288">
        <v>50</v>
      </c>
      <c r="H288" t="s">
        <v>184</v>
      </c>
    </row>
    <row r="289" spans="1:8">
      <c r="A289">
        <v>1615</v>
      </c>
      <c r="B289" t="s">
        <v>158</v>
      </c>
      <c r="C289">
        <v>269</v>
      </c>
      <c r="D289">
        <v>4</v>
      </c>
      <c r="E289">
        <v>1076</v>
      </c>
      <c r="F289">
        <v>288</v>
      </c>
      <c r="G289">
        <v>50.1</v>
      </c>
      <c r="H289" t="s">
        <v>184</v>
      </c>
    </row>
    <row r="290" spans="1:8">
      <c r="A290">
        <v>511</v>
      </c>
      <c r="B290" t="s">
        <v>420</v>
      </c>
      <c r="C290">
        <v>179</v>
      </c>
      <c r="D290">
        <v>6</v>
      </c>
      <c r="E290">
        <v>1074</v>
      </c>
      <c r="F290">
        <v>289</v>
      </c>
      <c r="G290">
        <v>50.2</v>
      </c>
      <c r="H290" t="s">
        <v>184</v>
      </c>
    </row>
    <row r="291" spans="1:8">
      <c r="A291">
        <v>1554</v>
      </c>
      <c r="B291" t="s">
        <v>421</v>
      </c>
      <c r="C291">
        <v>179</v>
      </c>
      <c r="D291">
        <v>6</v>
      </c>
      <c r="E291">
        <v>1074</v>
      </c>
      <c r="F291">
        <v>290</v>
      </c>
      <c r="G291">
        <v>50.3</v>
      </c>
      <c r="H291" t="s">
        <v>184</v>
      </c>
    </row>
    <row r="292" spans="1:8">
      <c r="A292">
        <v>1611</v>
      </c>
      <c r="B292" t="s">
        <v>422</v>
      </c>
      <c r="C292">
        <v>179</v>
      </c>
      <c r="D292">
        <v>6</v>
      </c>
      <c r="E292">
        <v>1074</v>
      </c>
      <c r="F292">
        <v>291</v>
      </c>
      <c r="G292">
        <v>50.4</v>
      </c>
      <c r="H292" t="s">
        <v>184</v>
      </c>
    </row>
    <row r="293" spans="1:8">
      <c r="A293">
        <v>1673</v>
      </c>
      <c r="B293" t="s">
        <v>423</v>
      </c>
      <c r="C293">
        <v>179</v>
      </c>
      <c r="D293">
        <v>6</v>
      </c>
      <c r="E293">
        <v>1074</v>
      </c>
      <c r="F293">
        <v>292</v>
      </c>
      <c r="G293">
        <v>50.5</v>
      </c>
      <c r="H293" t="s">
        <v>184</v>
      </c>
    </row>
    <row r="294" spans="1:8">
      <c r="A294">
        <v>2973</v>
      </c>
      <c r="B294" t="s">
        <v>424</v>
      </c>
      <c r="C294">
        <v>179</v>
      </c>
      <c r="D294">
        <v>6</v>
      </c>
      <c r="E294">
        <v>1074</v>
      </c>
      <c r="F294">
        <v>293</v>
      </c>
      <c r="G294">
        <v>50.6</v>
      </c>
      <c r="H294" t="s">
        <v>184</v>
      </c>
    </row>
    <row r="295" spans="1:8">
      <c r="A295">
        <v>2998</v>
      </c>
      <c r="B295" t="s">
        <v>425</v>
      </c>
      <c r="C295">
        <v>179</v>
      </c>
      <c r="D295">
        <v>6</v>
      </c>
      <c r="E295">
        <v>1074</v>
      </c>
      <c r="F295">
        <v>294</v>
      </c>
      <c r="G295">
        <v>50.7</v>
      </c>
      <c r="H295" t="s">
        <v>184</v>
      </c>
    </row>
    <row r="296" spans="1:8">
      <c r="A296">
        <v>3453</v>
      </c>
      <c r="B296" t="s">
        <v>426</v>
      </c>
      <c r="C296">
        <v>179</v>
      </c>
      <c r="D296">
        <v>6</v>
      </c>
      <c r="E296">
        <v>1074</v>
      </c>
      <c r="F296">
        <v>295</v>
      </c>
      <c r="G296">
        <v>50.8</v>
      </c>
      <c r="H296" t="s">
        <v>184</v>
      </c>
    </row>
    <row r="297" spans="1:8">
      <c r="A297">
        <v>3459</v>
      </c>
      <c r="B297" t="s">
        <v>427</v>
      </c>
      <c r="C297">
        <v>179</v>
      </c>
      <c r="D297">
        <v>6</v>
      </c>
      <c r="E297">
        <v>1074</v>
      </c>
      <c r="F297">
        <v>296</v>
      </c>
      <c r="G297">
        <v>50.9</v>
      </c>
      <c r="H297" t="s">
        <v>184</v>
      </c>
    </row>
    <row r="298" spans="1:8">
      <c r="A298">
        <v>1625</v>
      </c>
      <c r="B298" t="s">
        <v>428</v>
      </c>
      <c r="C298">
        <v>536</v>
      </c>
      <c r="D298">
        <v>2</v>
      </c>
      <c r="E298">
        <v>1072</v>
      </c>
      <c r="F298">
        <v>297</v>
      </c>
      <c r="G298">
        <v>51</v>
      </c>
      <c r="H298" t="s">
        <v>184</v>
      </c>
    </row>
    <row r="299" spans="1:8">
      <c r="A299">
        <v>448</v>
      </c>
      <c r="B299" t="s">
        <v>429</v>
      </c>
      <c r="C299">
        <v>178</v>
      </c>
      <c r="D299">
        <v>6</v>
      </c>
      <c r="E299">
        <v>1068</v>
      </c>
      <c r="F299">
        <v>298</v>
      </c>
      <c r="G299">
        <v>51.1</v>
      </c>
      <c r="H299" t="s">
        <v>184</v>
      </c>
    </row>
    <row r="300" spans="1:8">
      <c r="A300">
        <v>466</v>
      </c>
      <c r="B300" t="s">
        <v>430</v>
      </c>
      <c r="C300">
        <v>178</v>
      </c>
      <c r="D300">
        <v>6</v>
      </c>
      <c r="E300">
        <v>1068</v>
      </c>
      <c r="F300">
        <v>299</v>
      </c>
      <c r="G300">
        <v>51.2</v>
      </c>
      <c r="H300" t="s">
        <v>184</v>
      </c>
    </row>
    <row r="301" spans="1:8">
      <c r="A301">
        <v>3030</v>
      </c>
      <c r="B301" t="s">
        <v>431</v>
      </c>
      <c r="C301">
        <v>178</v>
      </c>
      <c r="D301">
        <v>6</v>
      </c>
      <c r="E301">
        <v>1068</v>
      </c>
      <c r="F301">
        <v>300</v>
      </c>
      <c r="G301">
        <v>51.3</v>
      </c>
      <c r="H301" t="s">
        <v>184</v>
      </c>
    </row>
    <row r="302" spans="1:8">
      <c r="A302">
        <v>3071</v>
      </c>
      <c r="B302" t="s">
        <v>432</v>
      </c>
      <c r="C302">
        <v>178</v>
      </c>
      <c r="D302">
        <v>6</v>
      </c>
      <c r="E302">
        <v>1068</v>
      </c>
      <c r="F302">
        <v>301</v>
      </c>
      <c r="G302">
        <v>51.4</v>
      </c>
      <c r="H302" t="s">
        <v>184</v>
      </c>
    </row>
    <row r="303" spans="1:8">
      <c r="A303">
        <v>3451</v>
      </c>
      <c r="B303" t="s">
        <v>433</v>
      </c>
      <c r="C303">
        <v>178</v>
      </c>
      <c r="D303">
        <v>6</v>
      </c>
      <c r="E303">
        <v>1068</v>
      </c>
      <c r="F303">
        <v>302</v>
      </c>
      <c r="G303">
        <v>51.5</v>
      </c>
      <c r="H303" t="s">
        <v>184</v>
      </c>
    </row>
    <row r="304" spans="1:8">
      <c r="A304">
        <v>1214</v>
      </c>
      <c r="B304" t="s">
        <v>64</v>
      </c>
      <c r="C304">
        <v>177</v>
      </c>
      <c r="D304">
        <v>6</v>
      </c>
      <c r="E304">
        <v>1062</v>
      </c>
      <c r="F304">
        <v>303</v>
      </c>
      <c r="G304">
        <v>51.6</v>
      </c>
      <c r="H304" t="s">
        <v>184</v>
      </c>
    </row>
    <row r="305" spans="1:8">
      <c r="A305">
        <v>3704</v>
      </c>
      <c r="B305" t="s">
        <v>434</v>
      </c>
      <c r="C305">
        <v>177</v>
      </c>
      <c r="D305">
        <v>6</v>
      </c>
      <c r="E305">
        <v>1062</v>
      </c>
      <c r="F305">
        <v>304</v>
      </c>
      <c r="G305">
        <v>51.7</v>
      </c>
      <c r="H305" t="s">
        <v>184</v>
      </c>
    </row>
    <row r="306" spans="1:8">
      <c r="A306">
        <v>485</v>
      </c>
      <c r="B306" t="s">
        <v>435</v>
      </c>
      <c r="C306">
        <v>176</v>
      </c>
      <c r="D306">
        <v>6</v>
      </c>
      <c r="E306">
        <v>1056</v>
      </c>
      <c r="F306">
        <v>305</v>
      </c>
      <c r="G306">
        <v>51.8</v>
      </c>
      <c r="H306" t="s">
        <v>184</v>
      </c>
    </row>
    <row r="307" spans="1:8">
      <c r="A307">
        <v>2989</v>
      </c>
      <c r="B307" t="s">
        <v>436</v>
      </c>
      <c r="C307">
        <v>176</v>
      </c>
      <c r="D307">
        <v>6</v>
      </c>
      <c r="E307">
        <v>1056</v>
      </c>
      <c r="F307">
        <v>306</v>
      </c>
      <c r="G307">
        <v>51.9</v>
      </c>
      <c r="H307" t="s">
        <v>184</v>
      </c>
    </row>
    <row r="308" spans="1:8">
      <c r="A308">
        <v>3021</v>
      </c>
      <c r="B308" t="s">
        <v>437</v>
      </c>
      <c r="C308">
        <v>176</v>
      </c>
      <c r="D308">
        <v>6</v>
      </c>
      <c r="E308">
        <v>1056</v>
      </c>
      <c r="F308">
        <v>307</v>
      </c>
      <c r="G308">
        <v>52</v>
      </c>
      <c r="H308" t="s">
        <v>184</v>
      </c>
    </row>
    <row r="309" spans="1:8">
      <c r="A309">
        <v>3457</v>
      </c>
      <c r="B309" t="s">
        <v>438</v>
      </c>
      <c r="C309">
        <v>176</v>
      </c>
      <c r="D309">
        <v>6</v>
      </c>
      <c r="E309">
        <v>1056</v>
      </c>
      <c r="F309">
        <v>308</v>
      </c>
      <c r="G309">
        <v>52.1</v>
      </c>
      <c r="H309" t="s">
        <v>184</v>
      </c>
    </row>
    <row r="310" spans="1:8">
      <c r="A310">
        <v>1669</v>
      </c>
      <c r="B310" t="s">
        <v>141</v>
      </c>
      <c r="C310">
        <v>175</v>
      </c>
      <c r="D310">
        <v>6</v>
      </c>
      <c r="E310">
        <v>1050</v>
      </c>
      <c r="F310">
        <v>309</v>
      </c>
      <c r="G310">
        <v>52.2</v>
      </c>
      <c r="H310" t="s">
        <v>184</v>
      </c>
    </row>
    <row r="311" spans="1:8">
      <c r="A311">
        <v>3488</v>
      </c>
      <c r="B311" t="s">
        <v>439</v>
      </c>
      <c r="C311">
        <v>175</v>
      </c>
      <c r="D311">
        <v>6</v>
      </c>
      <c r="E311">
        <v>1050</v>
      </c>
      <c r="F311">
        <v>310</v>
      </c>
      <c r="G311">
        <v>52.3</v>
      </c>
      <c r="H311" t="s">
        <v>184</v>
      </c>
    </row>
    <row r="312" spans="1:8">
      <c r="A312">
        <v>3606</v>
      </c>
      <c r="B312" t="s">
        <v>440</v>
      </c>
      <c r="C312">
        <v>175</v>
      </c>
      <c r="D312">
        <v>6</v>
      </c>
      <c r="E312">
        <v>1050</v>
      </c>
      <c r="F312">
        <v>311</v>
      </c>
      <c r="G312">
        <v>52.4</v>
      </c>
      <c r="H312" t="s">
        <v>184</v>
      </c>
    </row>
    <row r="313" spans="1:8">
      <c r="A313">
        <v>1181</v>
      </c>
      <c r="B313" t="s">
        <v>441</v>
      </c>
      <c r="C313">
        <v>174</v>
      </c>
      <c r="D313">
        <v>6</v>
      </c>
      <c r="E313">
        <v>1044</v>
      </c>
      <c r="F313">
        <v>312</v>
      </c>
      <c r="G313">
        <v>52.5</v>
      </c>
      <c r="H313" t="s">
        <v>184</v>
      </c>
    </row>
    <row r="314" spans="1:8">
      <c r="A314">
        <v>2833</v>
      </c>
      <c r="B314" t="s">
        <v>442</v>
      </c>
      <c r="C314">
        <v>174</v>
      </c>
      <c r="D314">
        <v>6</v>
      </c>
      <c r="E314">
        <v>1044</v>
      </c>
      <c r="F314">
        <v>313</v>
      </c>
      <c r="G314">
        <v>52.6</v>
      </c>
      <c r="H314" t="s">
        <v>184</v>
      </c>
    </row>
    <row r="315" spans="1:8">
      <c r="A315">
        <v>3018</v>
      </c>
      <c r="B315" t="s">
        <v>443</v>
      </c>
      <c r="C315">
        <v>174</v>
      </c>
      <c r="D315">
        <v>6</v>
      </c>
      <c r="E315">
        <v>1044</v>
      </c>
      <c r="F315">
        <v>314</v>
      </c>
      <c r="G315">
        <v>52.7</v>
      </c>
      <c r="H315" t="s">
        <v>184</v>
      </c>
    </row>
    <row r="316" spans="1:8">
      <c r="A316">
        <v>172</v>
      </c>
      <c r="B316" t="s">
        <v>444</v>
      </c>
      <c r="C316">
        <v>172</v>
      </c>
      <c r="D316">
        <v>6</v>
      </c>
      <c r="E316">
        <v>1032</v>
      </c>
      <c r="F316">
        <v>315</v>
      </c>
      <c r="G316">
        <v>52.8</v>
      </c>
      <c r="H316" t="s">
        <v>184</v>
      </c>
    </row>
    <row r="317" spans="1:8">
      <c r="A317">
        <v>1210</v>
      </c>
      <c r="B317" t="s">
        <v>445</v>
      </c>
      <c r="C317">
        <v>172</v>
      </c>
      <c r="D317">
        <v>6</v>
      </c>
      <c r="E317">
        <v>1032</v>
      </c>
      <c r="F317">
        <v>316</v>
      </c>
      <c r="G317">
        <v>52.9</v>
      </c>
      <c r="H317" t="s">
        <v>184</v>
      </c>
    </row>
    <row r="318" spans="1:8">
      <c r="A318">
        <v>349</v>
      </c>
      <c r="B318" t="s">
        <v>446</v>
      </c>
      <c r="C318">
        <v>171</v>
      </c>
      <c r="D318">
        <v>6</v>
      </c>
      <c r="E318">
        <v>1026</v>
      </c>
      <c r="F318">
        <v>317</v>
      </c>
      <c r="G318">
        <v>53</v>
      </c>
      <c r="H318" t="s">
        <v>184</v>
      </c>
    </row>
    <row r="319" spans="1:8">
      <c r="A319">
        <v>359</v>
      </c>
      <c r="B319" t="s">
        <v>447</v>
      </c>
      <c r="C319">
        <v>171</v>
      </c>
      <c r="D319">
        <v>6</v>
      </c>
      <c r="E319">
        <v>1026</v>
      </c>
      <c r="F319">
        <v>318</v>
      </c>
      <c r="G319">
        <v>53.1</v>
      </c>
      <c r="H319" t="s">
        <v>184</v>
      </c>
    </row>
    <row r="320" spans="1:8">
      <c r="A320">
        <v>1591</v>
      </c>
      <c r="B320" t="s">
        <v>448</v>
      </c>
      <c r="C320">
        <v>171</v>
      </c>
      <c r="D320">
        <v>6</v>
      </c>
      <c r="E320">
        <v>1026</v>
      </c>
      <c r="F320">
        <v>319</v>
      </c>
      <c r="G320">
        <v>53.2</v>
      </c>
      <c r="H320" t="s">
        <v>184</v>
      </c>
    </row>
    <row r="321" spans="1:8">
      <c r="A321">
        <v>1602</v>
      </c>
      <c r="B321" t="s">
        <v>449</v>
      </c>
      <c r="C321">
        <v>205</v>
      </c>
      <c r="D321">
        <v>5</v>
      </c>
      <c r="E321">
        <v>1025</v>
      </c>
      <c r="F321">
        <v>320</v>
      </c>
      <c r="G321">
        <v>53.3</v>
      </c>
      <c r="H321" t="s">
        <v>184</v>
      </c>
    </row>
    <row r="322" spans="1:8">
      <c r="A322">
        <v>2926</v>
      </c>
      <c r="B322" t="s">
        <v>450</v>
      </c>
      <c r="C322">
        <v>170</v>
      </c>
      <c r="D322">
        <v>6</v>
      </c>
      <c r="E322">
        <v>1020</v>
      </c>
      <c r="F322">
        <v>321</v>
      </c>
      <c r="G322">
        <v>53.4</v>
      </c>
      <c r="H322" t="s">
        <v>184</v>
      </c>
    </row>
    <row r="323" spans="1:8">
      <c r="A323">
        <v>3523</v>
      </c>
      <c r="B323" t="s">
        <v>451</v>
      </c>
      <c r="C323">
        <v>204</v>
      </c>
      <c r="D323">
        <v>5</v>
      </c>
      <c r="E323">
        <v>1020</v>
      </c>
      <c r="F323">
        <v>322</v>
      </c>
      <c r="G323">
        <v>53.5</v>
      </c>
      <c r="H323" t="s">
        <v>184</v>
      </c>
    </row>
    <row r="324" spans="1:8">
      <c r="A324">
        <v>3545</v>
      </c>
      <c r="B324" t="s">
        <v>452</v>
      </c>
      <c r="C324">
        <v>170</v>
      </c>
      <c r="D324">
        <v>6</v>
      </c>
      <c r="E324">
        <v>1020</v>
      </c>
      <c r="F324">
        <v>323</v>
      </c>
      <c r="G324">
        <v>53.6</v>
      </c>
      <c r="H324" t="s">
        <v>184</v>
      </c>
    </row>
    <row r="325" spans="1:8">
      <c r="A325">
        <v>3575</v>
      </c>
      <c r="B325" t="s">
        <v>453</v>
      </c>
      <c r="C325">
        <v>170</v>
      </c>
      <c r="D325">
        <v>6</v>
      </c>
      <c r="E325">
        <v>1020</v>
      </c>
      <c r="F325">
        <v>324</v>
      </c>
      <c r="G325">
        <v>53.7</v>
      </c>
      <c r="H325" t="s">
        <v>184</v>
      </c>
    </row>
    <row r="326" spans="1:8">
      <c r="A326">
        <v>3665</v>
      </c>
      <c r="B326" t="s">
        <v>454</v>
      </c>
      <c r="C326">
        <v>170</v>
      </c>
      <c r="D326">
        <v>6</v>
      </c>
      <c r="E326">
        <v>1020</v>
      </c>
      <c r="F326">
        <v>325</v>
      </c>
      <c r="G326">
        <v>53.8</v>
      </c>
      <c r="H326" t="s">
        <v>184</v>
      </c>
    </row>
    <row r="327" spans="1:8">
      <c r="A327">
        <v>536</v>
      </c>
      <c r="B327" t="s">
        <v>455</v>
      </c>
      <c r="C327">
        <v>169</v>
      </c>
      <c r="D327">
        <v>6</v>
      </c>
      <c r="E327">
        <v>1014</v>
      </c>
      <c r="F327">
        <v>326</v>
      </c>
      <c r="G327">
        <v>53.9</v>
      </c>
      <c r="H327" t="s">
        <v>184</v>
      </c>
    </row>
    <row r="328" spans="1:8">
      <c r="A328">
        <v>2762</v>
      </c>
      <c r="B328" t="s">
        <v>456</v>
      </c>
      <c r="C328">
        <v>169</v>
      </c>
      <c r="D328">
        <v>6</v>
      </c>
      <c r="E328">
        <v>1014</v>
      </c>
      <c r="F328">
        <v>327</v>
      </c>
      <c r="G328">
        <v>54</v>
      </c>
      <c r="H328" t="s">
        <v>184</v>
      </c>
    </row>
    <row r="329" spans="1:8">
      <c r="A329">
        <v>2957</v>
      </c>
      <c r="B329" t="s">
        <v>457</v>
      </c>
      <c r="C329">
        <v>169</v>
      </c>
      <c r="D329">
        <v>6</v>
      </c>
      <c r="E329">
        <v>1014</v>
      </c>
      <c r="F329">
        <v>328</v>
      </c>
      <c r="G329">
        <v>54.1</v>
      </c>
      <c r="H329" t="s">
        <v>184</v>
      </c>
    </row>
    <row r="330" spans="1:8">
      <c r="A330">
        <v>2969</v>
      </c>
      <c r="B330" t="s">
        <v>458</v>
      </c>
      <c r="C330">
        <v>169</v>
      </c>
      <c r="D330">
        <v>6</v>
      </c>
      <c r="E330">
        <v>1014</v>
      </c>
      <c r="F330">
        <v>329</v>
      </c>
      <c r="G330">
        <v>54.2</v>
      </c>
      <c r="H330" t="s">
        <v>184</v>
      </c>
    </row>
    <row r="331" spans="1:8">
      <c r="A331">
        <v>3467</v>
      </c>
      <c r="B331" t="s">
        <v>459</v>
      </c>
      <c r="C331">
        <v>169</v>
      </c>
      <c r="D331">
        <v>6</v>
      </c>
      <c r="E331">
        <v>1014</v>
      </c>
      <c r="F331">
        <v>330</v>
      </c>
      <c r="G331">
        <v>54.2</v>
      </c>
      <c r="H331" t="s">
        <v>184</v>
      </c>
    </row>
    <row r="332" spans="1:8">
      <c r="A332">
        <v>3537</v>
      </c>
      <c r="B332" t="s">
        <v>460</v>
      </c>
      <c r="C332">
        <v>169</v>
      </c>
      <c r="D332">
        <v>6</v>
      </c>
      <c r="E332">
        <v>1014</v>
      </c>
      <c r="F332">
        <v>331</v>
      </c>
      <c r="G332">
        <v>54.3</v>
      </c>
      <c r="H332" t="s">
        <v>184</v>
      </c>
    </row>
    <row r="333" spans="1:8">
      <c r="A333">
        <v>215</v>
      </c>
      <c r="B333" t="s">
        <v>461</v>
      </c>
      <c r="C333">
        <v>167</v>
      </c>
      <c r="D333">
        <v>6</v>
      </c>
      <c r="E333">
        <v>1002</v>
      </c>
      <c r="F333">
        <v>332</v>
      </c>
      <c r="G333">
        <v>54.4</v>
      </c>
      <c r="H333" t="s">
        <v>184</v>
      </c>
    </row>
    <row r="334" spans="1:8">
      <c r="A334">
        <v>1645</v>
      </c>
      <c r="B334" t="s">
        <v>462</v>
      </c>
      <c r="C334">
        <v>167</v>
      </c>
      <c r="D334">
        <v>6</v>
      </c>
      <c r="E334">
        <v>1002</v>
      </c>
      <c r="F334">
        <v>333</v>
      </c>
      <c r="G334">
        <v>54.5</v>
      </c>
      <c r="H334" t="s">
        <v>184</v>
      </c>
    </row>
    <row r="335" spans="1:8">
      <c r="A335">
        <v>1627</v>
      </c>
      <c r="B335" t="s">
        <v>463</v>
      </c>
      <c r="C335">
        <v>200</v>
      </c>
      <c r="D335">
        <v>5</v>
      </c>
      <c r="E335">
        <v>1000</v>
      </c>
      <c r="F335">
        <v>334</v>
      </c>
      <c r="G335">
        <v>54.6</v>
      </c>
      <c r="H335" t="s">
        <v>184</v>
      </c>
    </row>
    <row r="336" spans="1:8">
      <c r="A336">
        <v>3616</v>
      </c>
      <c r="B336" t="s">
        <v>296</v>
      </c>
      <c r="C336">
        <v>250</v>
      </c>
      <c r="D336">
        <v>4</v>
      </c>
      <c r="E336">
        <v>1000</v>
      </c>
      <c r="F336">
        <v>335</v>
      </c>
      <c r="G336">
        <v>54.7</v>
      </c>
      <c r="H336" t="s">
        <v>184</v>
      </c>
    </row>
    <row r="337" spans="1:8">
      <c r="A337">
        <v>108</v>
      </c>
      <c r="B337" t="s">
        <v>116</v>
      </c>
      <c r="C337">
        <v>499</v>
      </c>
      <c r="D337">
        <v>2</v>
      </c>
      <c r="E337">
        <v>998</v>
      </c>
      <c r="F337">
        <v>336</v>
      </c>
      <c r="G337">
        <v>54.8</v>
      </c>
      <c r="H337" t="s">
        <v>184</v>
      </c>
    </row>
    <row r="338" spans="1:8">
      <c r="A338">
        <v>266</v>
      </c>
      <c r="B338" t="s">
        <v>464</v>
      </c>
      <c r="C338">
        <v>166</v>
      </c>
      <c r="D338">
        <v>6</v>
      </c>
      <c r="E338">
        <v>996</v>
      </c>
      <c r="F338">
        <v>337</v>
      </c>
      <c r="G338">
        <v>54.9</v>
      </c>
      <c r="H338" t="s">
        <v>184</v>
      </c>
    </row>
    <row r="339" spans="1:8">
      <c r="A339">
        <v>1221</v>
      </c>
      <c r="B339" t="s">
        <v>465</v>
      </c>
      <c r="C339">
        <v>249</v>
      </c>
      <c r="D339">
        <v>4</v>
      </c>
      <c r="E339">
        <v>996</v>
      </c>
      <c r="F339">
        <v>338</v>
      </c>
      <c r="G339">
        <v>55</v>
      </c>
      <c r="H339" t="s">
        <v>184</v>
      </c>
    </row>
    <row r="340" spans="1:8">
      <c r="A340">
        <v>3011</v>
      </c>
      <c r="B340" t="s">
        <v>466</v>
      </c>
      <c r="C340">
        <v>249</v>
      </c>
      <c r="D340">
        <v>4</v>
      </c>
      <c r="E340">
        <v>996</v>
      </c>
      <c r="F340">
        <v>339</v>
      </c>
      <c r="G340">
        <v>55.1</v>
      </c>
      <c r="H340" t="s">
        <v>184</v>
      </c>
    </row>
    <row r="341" spans="1:8">
      <c r="A341">
        <v>3059</v>
      </c>
      <c r="B341" t="s">
        <v>467</v>
      </c>
      <c r="C341">
        <v>249</v>
      </c>
      <c r="D341">
        <v>4</v>
      </c>
      <c r="E341">
        <v>996</v>
      </c>
      <c r="F341">
        <v>340</v>
      </c>
      <c r="G341">
        <v>55.2</v>
      </c>
      <c r="H341" t="s">
        <v>184</v>
      </c>
    </row>
    <row r="342" spans="1:8">
      <c r="A342">
        <v>417</v>
      </c>
      <c r="B342" t="s">
        <v>468</v>
      </c>
      <c r="C342">
        <v>243</v>
      </c>
      <c r="D342">
        <v>4</v>
      </c>
      <c r="E342">
        <v>972</v>
      </c>
      <c r="F342">
        <v>341</v>
      </c>
      <c r="G342">
        <v>55.3</v>
      </c>
      <c r="H342" t="s">
        <v>184</v>
      </c>
    </row>
    <row r="343" spans="1:8">
      <c r="A343">
        <v>481</v>
      </c>
      <c r="B343" t="s">
        <v>139</v>
      </c>
      <c r="C343">
        <v>162</v>
      </c>
      <c r="D343">
        <v>6</v>
      </c>
      <c r="E343">
        <v>972</v>
      </c>
      <c r="F343">
        <v>342</v>
      </c>
      <c r="G343">
        <v>55.4</v>
      </c>
      <c r="H343" t="s">
        <v>184</v>
      </c>
    </row>
    <row r="344" spans="1:8">
      <c r="A344">
        <v>1572</v>
      </c>
      <c r="B344" t="s">
        <v>106</v>
      </c>
      <c r="C344">
        <v>324</v>
      </c>
      <c r="D344">
        <v>3</v>
      </c>
      <c r="E344">
        <v>972</v>
      </c>
      <c r="F344">
        <v>343</v>
      </c>
      <c r="G344">
        <v>55.5</v>
      </c>
      <c r="H344" t="s">
        <v>184</v>
      </c>
    </row>
    <row r="345" spans="1:8">
      <c r="A345">
        <v>2803</v>
      </c>
      <c r="B345" t="s">
        <v>469</v>
      </c>
      <c r="C345">
        <v>162</v>
      </c>
      <c r="D345">
        <v>6</v>
      </c>
      <c r="E345">
        <v>972</v>
      </c>
      <c r="F345">
        <v>344</v>
      </c>
      <c r="G345">
        <v>55.6</v>
      </c>
      <c r="H345" t="s">
        <v>184</v>
      </c>
    </row>
    <row r="346" spans="1:8">
      <c r="A346">
        <v>3000</v>
      </c>
      <c r="B346" t="s">
        <v>152</v>
      </c>
      <c r="C346">
        <v>162</v>
      </c>
      <c r="D346">
        <v>6</v>
      </c>
      <c r="E346">
        <v>972</v>
      </c>
      <c r="F346">
        <v>345</v>
      </c>
      <c r="G346">
        <v>55.7</v>
      </c>
      <c r="H346" t="s">
        <v>184</v>
      </c>
    </row>
    <row r="347" spans="1:8">
      <c r="A347">
        <v>2826</v>
      </c>
      <c r="B347" t="s">
        <v>470</v>
      </c>
      <c r="C347">
        <v>194</v>
      </c>
      <c r="D347">
        <v>5</v>
      </c>
      <c r="E347">
        <v>970</v>
      </c>
      <c r="F347">
        <v>346</v>
      </c>
      <c r="G347">
        <v>55.7</v>
      </c>
      <c r="H347" t="s">
        <v>184</v>
      </c>
    </row>
    <row r="348" spans="1:8">
      <c r="A348">
        <v>1679</v>
      </c>
      <c r="B348" t="s">
        <v>471</v>
      </c>
      <c r="C348">
        <v>161</v>
      </c>
      <c r="D348">
        <v>6</v>
      </c>
      <c r="E348">
        <v>966</v>
      </c>
      <c r="F348">
        <v>347</v>
      </c>
      <c r="G348">
        <v>55.8</v>
      </c>
      <c r="H348" t="s">
        <v>184</v>
      </c>
    </row>
    <row r="349" spans="1:8">
      <c r="A349">
        <v>3480</v>
      </c>
      <c r="B349" t="s">
        <v>472</v>
      </c>
      <c r="C349">
        <v>161</v>
      </c>
      <c r="D349">
        <v>6</v>
      </c>
      <c r="E349">
        <v>966</v>
      </c>
      <c r="F349">
        <v>348</v>
      </c>
      <c r="G349">
        <v>55.9</v>
      </c>
      <c r="H349" t="s">
        <v>184</v>
      </c>
    </row>
    <row r="350" spans="1:8">
      <c r="A350">
        <v>3588</v>
      </c>
      <c r="B350" t="s">
        <v>473</v>
      </c>
      <c r="C350">
        <v>161</v>
      </c>
      <c r="D350">
        <v>6</v>
      </c>
      <c r="E350">
        <v>966</v>
      </c>
      <c r="F350">
        <v>349</v>
      </c>
      <c r="G350">
        <v>56</v>
      </c>
      <c r="H350" t="s">
        <v>184</v>
      </c>
    </row>
    <row r="351" spans="1:8">
      <c r="A351">
        <v>1559</v>
      </c>
      <c r="B351" t="s">
        <v>474</v>
      </c>
      <c r="C351">
        <v>192</v>
      </c>
      <c r="D351">
        <v>5</v>
      </c>
      <c r="E351">
        <v>960</v>
      </c>
      <c r="F351">
        <v>350</v>
      </c>
      <c r="G351">
        <v>56.1</v>
      </c>
      <c r="H351" t="s">
        <v>184</v>
      </c>
    </row>
    <row r="352" spans="1:8">
      <c r="A352">
        <v>1630</v>
      </c>
      <c r="B352" t="s">
        <v>475</v>
      </c>
      <c r="C352">
        <v>160</v>
      </c>
      <c r="D352">
        <v>6</v>
      </c>
      <c r="E352">
        <v>960</v>
      </c>
      <c r="F352">
        <v>351</v>
      </c>
      <c r="G352">
        <v>56.2</v>
      </c>
      <c r="H352" t="s">
        <v>184</v>
      </c>
    </row>
    <row r="353" spans="1:8">
      <c r="A353">
        <v>3014</v>
      </c>
      <c r="B353" t="s">
        <v>89</v>
      </c>
      <c r="C353">
        <v>240</v>
      </c>
      <c r="D353">
        <v>4</v>
      </c>
      <c r="E353">
        <v>960</v>
      </c>
      <c r="F353">
        <v>352</v>
      </c>
      <c r="G353">
        <v>56.3</v>
      </c>
      <c r="H353" t="s">
        <v>184</v>
      </c>
    </row>
    <row r="354" spans="1:8">
      <c r="A354">
        <v>3481</v>
      </c>
      <c r="B354" t="s">
        <v>476</v>
      </c>
      <c r="C354">
        <v>160</v>
      </c>
      <c r="D354">
        <v>6</v>
      </c>
      <c r="E354">
        <v>960</v>
      </c>
      <c r="F354">
        <v>353</v>
      </c>
      <c r="G354">
        <v>56.4</v>
      </c>
      <c r="H354" t="s">
        <v>184</v>
      </c>
    </row>
    <row r="355" spans="1:8">
      <c r="A355">
        <v>3656</v>
      </c>
      <c r="B355" t="s">
        <v>477</v>
      </c>
      <c r="C355">
        <v>160</v>
      </c>
      <c r="D355">
        <v>6</v>
      </c>
      <c r="E355">
        <v>960</v>
      </c>
      <c r="F355">
        <v>354</v>
      </c>
      <c r="G355">
        <v>56.5</v>
      </c>
      <c r="H355" t="s">
        <v>184</v>
      </c>
    </row>
    <row r="356" spans="1:8">
      <c r="A356">
        <v>2921</v>
      </c>
      <c r="B356" t="s">
        <v>155</v>
      </c>
      <c r="C356">
        <v>319</v>
      </c>
      <c r="D356">
        <v>3</v>
      </c>
      <c r="E356">
        <v>957</v>
      </c>
      <c r="F356">
        <v>355</v>
      </c>
      <c r="G356">
        <v>56.6</v>
      </c>
      <c r="H356" t="s">
        <v>184</v>
      </c>
    </row>
    <row r="357" spans="1:8">
      <c r="A357">
        <v>1584</v>
      </c>
      <c r="B357" t="s">
        <v>478</v>
      </c>
      <c r="C357">
        <v>191</v>
      </c>
      <c r="D357">
        <v>5</v>
      </c>
      <c r="E357">
        <v>955</v>
      </c>
      <c r="F357">
        <v>356</v>
      </c>
      <c r="G357">
        <v>56.7</v>
      </c>
      <c r="H357" t="s">
        <v>184</v>
      </c>
    </row>
    <row r="358" spans="1:8">
      <c r="A358">
        <v>2874</v>
      </c>
      <c r="B358" t="s">
        <v>479</v>
      </c>
      <c r="C358">
        <v>191</v>
      </c>
      <c r="D358">
        <v>5</v>
      </c>
      <c r="E358">
        <v>955</v>
      </c>
      <c r="F358">
        <v>357</v>
      </c>
      <c r="G358">
        <v>56.7</v>
      </c>
      <c r="H358" t="s">
        <v>184</v>
      </c>
    </row>
    <row r="359" spans="1:8">
      <c r="A359">
        <v>484</v>
      </c>
      <c r="B359" t="s">
        <v>480</v>
      </c>
      <c r="C359">
        <v>159</v>
      </c>
      <c r="D359">
        <v>6</v>
      </c>
      <c r="E359">
        <v>954</v>
      </c>
      <c r="F359">
        <v>358</v>
      </c>
      <c r="G359">
        <v>56.8</v>
      </c>
      <c r="H359" t="s">
        <v>184</v>
      </c>
    </row>
    <row r="360" spans="1:8">
      <c r="A360">
        <v>496</v>
      </c>
      <c r="B360" t="s">
        <v>481</v>
      </c>
      <c r="C360">
        <v>159</v>
      </c>
      <c r="D360">
        <v>6</v>
      </c>
      <c r="E360">
        <v>954</v>
      </c>
      <c r="F360">
        <v>359</v>
      </c>
      <c r="G360">
        <v>56.9</v>
      </c>
      <c r="H360" t="s">
        <v>184</v>
      </c>
    </row>
    <row r="361" spans="1:8">
      <c r="A361">
        <v>2993</v>
      </c>
      <c r="B361" t="s">
        <v>482</v>
      </c>
      <c r="C361">
        <v>190</v>
      </c>
      <c r="D361">
        <v>5</v>
      </c>
      <c r="E361">
        <v>950</v>
      </c>
      <c r="F361">
        <v>360</v>
      </c>
      <c r="G361">
        <v>57</v>
      </c>
      <c r="H361" t="s">
        <v>184</v>
      </c>
    </row>
    <row r="362" spans="1:8">
      <c r="A362">
        <v>1468</v>
      </c>
      <c r="B362" t="s">
        <v>106</v>
      </c>
      <c r="C362">
        <v>158</v>
      </c>
      <c r="D362">
        <v>6</v>
      </c>
      <c r="E362">
        <v>948</v>
      </c>
      <c r="F362">
        <v>361</v>
      </c>
      <c r="G362">
        <v>57.1</v>
      </c>
      <c r="H362" t="s">
        <v>184</v>
      </c>
    </row>
    <row r="363" spans="1:8">
      <c r="A363">
        <v>2914</v>
      </c>
      <c r="B363" t="s">
        <v>483</v>
      </c>
      <c r="C363">
        <v>158</v>
      </c>
      <c r="D363">
        <v>6</v>
      </c>
      <c r="E363">
        <v>948</v>
      </c>
      <c r="F363">
        <v>362</v>
      </c>
      <c r="G363">
        <v>57.2</v>
      </c>
      <c r="H363" t="s">
        <v>184</v>
      </c>
    </row>
    <row r="364" spans="1:8">
      <c r="A364">
        <v>3025</v>
      </c>
      <c r="B364" t="s">
        <v>484</v>
      </c>
      <c r="C364">
        <v>158</v>
      </c>
      <c r="D364">
        <v>6</v>
      </c>
      <c r="E364">
        <v>948</v>
      </c>
      <c r="F364">
        <v>363</v>
      </c>
      <c r="G364">
        <v>57.3</v>
      </c>
      <c r="H364" t="s">
        <v>184</v>
      </c>
    </row>
    <row r="365" spans="1:8">
      <c r="A365">
        <v>3524</v>
      </c>
      <c r="B365" t="s">
        <v>485</v>
      </c>
      <c r="C365">
        <v>158</v>
      </c>
      <c r="D365">
        <v>6</v>
      </c>
      <c r="E365">
        <v>948</v>
      </c>
      <c r="F365">
        <v>364</v>
      </c>
      <c r="G365">
        <v>57.4</v>
      </c>
      <c r="H365" t="s">
        <v>184</v>
      </c>
    </row>
    <row r="366" spans="1:8">
      <c r="A366">
        <v>353</v>
      </c>
      <c r="B366" t="s">
        <v>486</v>
      </c>
      <c r="C366">
        <v>157</v>
      </c>
      <c r="D366">
        <v>6</v>
      </c>
      <c r="E366">
        <v>942</v>
      </c>
      <c r="F366">
        <v>365</v>
      </c>
      <c r="G366">
        <v>57.5</v>
      </c>
      <c r="H366" t="s">
        <v>184</v>
      </c>
    </row>
    <row r="367" spans="1:8">
      <c r="A367">
        <v>3054</v>
      </c>
      <c r="B367" t="s">
        <v>487</v>
      </c>
      <c r="C367">
        <v>157</v>
      </c>
      <c r="D367">
        <v>6</v>
      </c>
      <c r="E367">
        <v>942</v>
      </c>
      <c r="F367">
        <v>366</v>
      </c>
      <c r="G367">
        <v>57.5</v>
      </c>
      <c r="H367" t="s">
        <v>184</v>
      </c>
    </row>
    <row r="368" spans="1:8">
      <c r="A368">
        <v>3703</v>
      </c>
      <c r="B368" t="s">
        <v>488</v>
      </c>
      <c r="C368">
        <v>157</v>
      </c>
      <c r="D368">
        <v>6</v>
      </c>
      <c r="E368">
        <v>942</v>
      </c>
      <c r="F368">
        <v>367</v>
      </c>
      <c r="G368">
        <v>57.6</v>
      </c>
      <c r="H368" t="s">
        <v>184</v>
      </c>
    </row>
    <row r="369" spans="1:8">
      <c r="A369">
        <v>1202</v>
      </c>
      <c r="B369" t="s">
        <v>489</v>
      </c>
      <c r="C369">
        <v>188</v>
      </c>
      <c r="D369">
        <v>5</v>
      </c>
      <c r="E369">
        <v>940</v>
      </c>
      <c r="F369">
        <v>368</v>
      </c>
      <c r="G369">
        <v>57.7</v>
      </c>
      <c r="H369" t="s">
        <v>184</v>
      </c>
    </row>
    <row r="370" spans="1:8">
      <c r="A370">
        <v>436</v>
      </c>
      <c r="B370" t="s">
        <v>490</v>
      </c>
      <c r="C370">
        <v>156</v>
      </c>
      <c r="D370">
        <v>6</v>
      </c>
      <c r="E370">
        <v>936</v>
      </c>
      <c r="F370">
        <v>369</v>
      </c>
      <c r="G370">
        <v>57.8</v>
      </c>
      <c r="H370" t="s">
        <v>184</v>
      </c>
    </row>
    <row r="371" spans="1:8">
      <c r="A371">
        <v>506</v>
      </c>
      <c r="B371" t="s">
        <v>491</v>
      </c>
      <c r="C371">
        <v>156</v>
      </c>
      <c r="D371">
        <v>6</v>
      </c>
      <c r="E371">
        <v>936</v>
      </c>
      <c r="F371">
        <v>370</v>
      </c>
      <c r="G371">
        <v>57.9</v>
      </c>
      <c r="H371" t="s">
        <v>184</v>
      </c>
    </row>
    <row r="372" spans="1:8">
      <c r="A372">
        <v>1488</v>
      </c>
      <c r="B372" t="s">
        <v>492</v>
      </c>
      <c r="C372">
        <v>234</v>
      </c>
      <c r="D372">
        <v>4</v>
      </c>
      <c r="E372">
        <v>936</v>
      </c>
      <c r="F372">
        <v>371</v>
      </c>
      <c r="G372">
        <v>58</v>
      </c>
      <c r="H372" t="s">
        <v>184</v>
      </c>
    </row>
    <row r="373" spans="1:8">
      <c r="A373">
        <v>1587</v>
      </c>
      <c r="B373" t="s">
        <v>493</v>
      </c>
      <c r="C373">
        <v>234</v>
      </c>
      <c r="D373">
        <v>4</v>
      </c>
      <c r="E373">
        <v>936</v>
      </c>
      <c r="F373">
        <v>372</v>
      </c>
      <c r="G373">
        <v>58.1</v>
      </c>
      <c r="H373" t="s">
        <v>184</v>
      </c>
    </row>
    <row r="374" spans="1:8">
      <c r="A374">
        <v>2782</v>
      </c>
      <c r="B374" t="s">
        <v>494</v>
      </c>
      <c r="C374">
        <v>186</v>
      </c>
      <c r="D374">
        <v>5</v>
      </c>
      <c r="E374">
        <v>930</v>
      </c>
      <c r="F374">
        <v>373</v>
      </c>
      <c r="G374">
        <v>58.2</v>
      </c>
      <c r="H374" t="s">
        <v>184</v>
      </c>
    </row>
    <row r="375" spans="1:8">
      <c r="A375">
        <v>2941</v>
      </c>
      <c r="B375" t="s">
        <v>495</v>
      </c>
      <c r="C375">
        <v>186</v>
      </c>
      <c r="D375">
        <v>5</v>
      </c>
      <c r="E375">
        <v>930</v>
      </c>
      <c r="F375">
        <v>374</v>
      </c>
      <c r="G375">
        <v>58.3</v>
      </c>
      <c r="H375" t="s">
        <v>184</v>
      </c>
    </row>
    <row r="376" spans="1:8">
      <c r="A376">
        <v>2979</v>
      </c>
      <c r="B376" t="s">
        <v>496</v>
      </c>
      <c r="C376">
        <v>155</v>
      </c>
      <c r="D376">
        <v>6</v>
      </c>
      <c r="E376">
        <v>930</v>
      </c>
      <c r="F376">
        <v>375</v>
      </c>
      <c r="G376">
        <v>58.3</v>
      </c>
      <c r="H376" t="s">
        <v>184</v>
      </c>
    </row>
    <row r="377" spans="1:8">
      <c r="A377">
        <v>2935</v>
      </c>
      <c r="B377" t="s">
        <v>497</v>
      </c>
      <c r="C377">
        <v>154</v>
      </c>
      <c r="D377">
        <v>6</v>
      </c>
      <c r="E377">
        <v>924</v>
      </c>
      <c r="F377">
        <v>376</v>
      </c>
      <c r="G377">
        <v>58.4</v>
      </c>
      <c r="H377" t="s">
        <v>184</v>
      </c>
    </row>
    <row r="378" spans="1:8">
      <c r="A378">
        <v>1696</v>
      </c>
      <c r="B378" t="s">
        <v>498</v>
      </c>
      <c r="C378">
        <v>230</v>
      </c>
      <c r="D378">
        <v>4</v>
      </c>
      <c r="E378">
        <v>920</v>
      </c>
      <c r="F378">
        <v>377</v>
      </c>
      <c r="G378">
        <v>58.5</v>
      </c>
      <c r="H378" t="s">
        <v>184</v>
      </c>
    </row>
    <row r="379" spans="1:8">
      <c r="A379">
        <v>1718</v>
      </c>
      <c r="B379" t="s">
        <v>499</v>
      </c>
      <c r="C379">
        <v>230</v>
      </c>
      <c r="D379">
        <v>4</v>
      </c>
      <c r="E379">
        <v>920</v>
      </c>
      <c r="F379">
        <v>378</v>
      </c>
      <c r="G379">
        <v>58.6</v>
      </c>
      <c r="H379" t="s">
        <v>184</v>
      </c>
    </row>
    <row r="380" spans="1:8">
      <c r="A380">
        <v>3074</v>
      </c>
      <c r="B380" t="s">
        <v>500</v>
      </c>
      <c r="C380">
        <v>230</v>
      </c>
      <c r="D380">
        <v>4</v>
      </c>
      <c r="E380">
        <v>920</v>
      </c>
      <c r="F380">
        <v>379</v>
      </c>
      <c r="G380">
        <v>58.7</v>
      </c>
      <c r="H380" t="s">
        <v>184</v>
      </c>
    </row>
    <row r="381" spans="1:8">
      <c r="A381">
        <v>2878</v>
      </c>
      <c r="B381" t="s">
        <v>501</v>
      </c>
      <c r="C381">
        <v>153</v>
      </c>
      <c r="D381">
        <v>6</v>
      </c>
      <c r="E381">
        <v>918</v>
      </c>
      <c r="F381">
        <v>380</v>
      </c>
      <c r="G381">
        <v>58.8</v>
      </c>
      <c r="H381" t="s">
        <v>184</v>
      </c>
    </row>
    <row r="382" spans="1:8">
      <c r="A382">
        <v>3548</v>
      </c>
      <c r="B382" t="s">
        <v>502</v>
      </c>
      <c r="C382">
        <v>152</v>
      </c>
      <c r="D382">
        <v>6</v>
      </c>
      <c r="E382">
        <v>912</v>
      </c>
      <c r="F382">
        <v>381</v>
      </c>
      <c r="G382">
        <v>58.9</v>
      </c>
      <c r="H382" t="s">
        <v>184</v>
      </c>
    </row>
    <row r="383" spans="1:8">
      <c r="A383">
        <v>3576</v>
      </c>
      <c r="B383" t="s">
        <v>503</v>
      </c>
      <c r="C383">
        <v>152</v>
      </c>
      <c r="D383">
        <v>6</v>
      </c>
      <c r="E383">
        <v>912</v>
      </c>
      <c r="F383">
        <v>382</v>
      </c>
      <c r="G383">
        <v>59</v>
      </c>
      <c r="H383" t="s">
        <v>184</v>
      </c>
    </row>
    <row r="384" spans="1:8">
      <c r="A384">
        <v>392</v>
      </c>
      <c r="B384" t="s">
        <v>504</v>
      </c>
      <c r="C384">
        <v>225</v>
      </c>
      <c r="D384">
        <v>4</v>
      </c>
      <c r="E384">
        <v>900</v>
      </c>
      <c r="F384">
        <v>383</v>
      </c>
      <c r="G384">
        <v>59</v>
      </c>
      <c r="H384" t="s">
        <v>184</v>
      </c>
    </row>
    <row r="385" spans="1:8">
      <c r="A385">
        <v>478</v>
      </c>
      <c r="B385" t="s">
        <v>505</v>
      </c>
      <c r="C385">
        <v>150</v>
      </c>
      <c r="D385">
        <v>6</v>
      </c>
      <c r="E385">
        <v>900</v>
      </c>
      <c r="F385">
        <v>384</v>
      </c>
      <c r="G385">
        <v>59.1</v>
      </c>
      <c r="H385" t="s">
        <v>184</v>
      </c>
    </row>
    <row r="386" spans="1:8">
      <c r="A386">
        <v>1220</v>
      </c>
      <c r="B386" t="s">
        <v>506</v>
      </c>
      <c r="C386">
        <v>150</v>
      </c>
      <c r="D386">
        <v>6</v>
      </c>
      <c r="E386">
        <v>900</v>
      </c>
      <c r="F386">
        <v>385</v>
      </c>
      <c r="G386">
        <v>59.2</v>
      </c>
      <c r="H386" t="s">
        <v>184</v>
      </c>
    </row>
    <row r="387" spans="1:8">
      <c r="A387">
        <v>2911</v>
      </c>
      <c r="B387" t="s">
        <v>507</v>
      </c>
      <c r="C387">
        <v>150</v>
      </c>
      <c r="D387">
        <v>6</v>
      </c>
      <c r="E387">
        <v>900</v>
      </c>
      <c r="F387">
        <v>386</v>
      </c>
      <c r="G387">
        <v>59.3</v>
      </c>
      <c r="H387" t="s">
        <v>184</v>
      </c>
    </row>
    <row r="388" spans="1:8">
      <c r="A388">
        <v>2953</v>
      </c>
      <c r="B388" t="s">
        <v>508</v>
      </c>
      <c r="C388">
        <v>150</v>
      </c>
      <c r="D388">
        <v>6</v>
      </c>
      <c r="E388">
        <v>900</v>
      </c>
      <c r="F388">
        <v>387</v>
      </c>
      <c r="G388">
        <v>59.4</v>
      </c>
      <c r="H388" t="s">
        <v>184</v>
      </c>
    </row>
    <row r="389" spans="1:8">
      <c r="A389">
        <v>395</v>
      </c>
      <c r="B389" t="s">
        <v>509</v>
      </c>
      <c r="C389">
        <v>149</v>
      </c>
      <c r="D389">
        <v>6</v>
      </c>
      <c r="E389">
        <v>894</v>
      </c>
      <c r="F389">
        <v>388</v>
      </c>
      <c r="G389">
        <v>59.5</v>
      </c>
      <c r="H389" t="s">
        <v>184</v>
      </c>
    </row>
    <row r="390" spans="1:8">
      <c r="A390">
        <v>2860</v>
      </c>
      <c r="B390" t="s">
        <v>87</v>
      </c>
      <c r="C390">
        <v>149</v>
      </c>
      <c r="D390">
        <v>6</v>
      </c>
      <c r="E390">
        <v>894</v>
      </c>
      <c r="F390">
        <v>389</v>
      </c>
      <c r="G390">
        <v>59.5</v>
      </c>
      <c r="H390" t="s">
        <v>184</v>
      </c>
    </row>
    <row r="391" spans="1:8">
      <c r="A391">
        <v>2987</v>
      </c>
      <c r="B391" t="s">
        <v>510</v>
      </c>
      <c r="C391">
        <v>149</v>
      </c>
      <c r="D391">
        <v>6</v>
      </c>
      <c r="E391">
        <v>894</v>
      </c>
      <c r="F391">
        <v>390</v>
      </c>
      <c r="G391">
        <v>59.6</v>
      </c>
      <c r="H391" t="s">
        <v>184</v>
      </c>
    </row>
    <row r="392" spans="1:8">
      <c r="A392">
        <v>206</v>
      </c>
      <c r="B392" t="s">
        <v>511</v>
      </c>
      <c r="C392">
        <v>178</v>
      </c>
      <c r="D392">
        <v>5</v>
      </c>
      <c r="E392">
        <v>890</v>
      </c>
      <c r="F392">
        <v>391</v>
      </c>
      <c r="G392">
        <v>59.7</v>
      </c>
      <c r="H392" t="s">
        <v>184</v>
      </c>
    </row>
    <row r="393" spans="1:8">
      <c r="A393">
        <v>3660</v>
      </c>
      <c r="B393" t="s">
        <v>512</v>
      </c>
      <c r="C393">
        <v>148</v>
      </c>
      <c r="D393">
        <v>6</v>
      </c>
      <c r="E393">
        <v>888</v>
      </c>
      <c r="F393">
        <v>392</v>
      </c>
      <c r="G393">
        <v>59.8</v>
      </c>
      <c r="H393" t="s">
        <v>184</v>
      </c>
    </row>
    <row r="394" spans="1:8">
      <c r="A394">
        <v>1599</v>
      </c>
      <c r="B394" t="s">
        <v>513</v>
      </c>
      <c r="C394">
        <v>295</v>
      </c>
      <c r="D394">
        <v>3</v>
      </c>
      <c r="E394">
        <v>885</v>
      </c>
      <c r="F394">
        <v>393</v>
      </c>
      <c r="G394">
        <v>59.9</v>
      </c>
      <c r="H394" t="s">
        <v>184</v>
      </c>
    </row>
    <row r="395" spans="1:8">
      <c r="A395">
        <v>530</v>
      </c>
      <c r="B395" t="s">
        <v>514</v>
      </c>
      <c r="C395">
        <v>147</v>
      </c>
      <c r="D395">
        <v>6</v>
      </c>
      <c r="E395">
        <v>882</v>
      </c>
      <c r="F395">
        <v>394</v>
      </c>
      <c r="G395">
        <v>60</v>
      </c>
      <c r="H395" t="s">
        <v>184</v>
      </c>
    </row>
    <row r="396" spans="1:8">
      <c r="A396">
        <v>1192</v>
      </c>
      <c r="B396" t="s">
        <v>66</v>
      </c>
      <c r="C396">
        <v>147</v>
      </c>
      <c r="D396">
        <v>6</v>
      </c>
      <c r="E396">
        <v>882</v>
      </c>
      <c r="F396">
        <v>395</v>
      </c>
      <c r="G396">
        <v>60</v>
      </c>
      <c r="H396" t="s">
        <v>184</v>
      </c>
    </row>
    <row r="397" spans="1:8">
      <c r="A397">
        <v>1524</v>
      </c>
      <c r="B397" t="s">
        <v>515</v>
      </c>
      <c r="C397">
        <v>294</v>
      </c>
      <c r="D397">
        <v>3</v>
      </c>
      <c r="E397">
        <v>882</v>
      </c>
      <c r="F397">
        <v>396</v>
      </c>
      <c r="G397">
        <v>60.1</v>
      </c>
      <c r="H397" t="s">
        <v>184</v>
      </c>
    </row>
    <row r="398" spans="1:8">
      <c r="A398">
        <v>453</v>
      </c>
      <c r="B398" t="s">
        <v>516</v>
      </c>
      <c r="C398">
        <v>176</v>
      </c>
      <c r="D398">
        <v>5</v>
      </c>
      <c r="E398">
        <v>880</v>
      </c>
      <c r="F398">
        <v>397</v>
      </c>
      <c r="G398">
        <v>60.2</v>
      </c>
      <c r="H398" t="s">
        <v>184</v>
      </c>
    </row>
    <row r="399" spans="1:8">
      <c r="A399">
        <v>3604</v>
      </c>
      <c r="B399" t="s">
        <v>517</v>
      </c>
      <c r="C399">
        <v>220</v>
      </c>
      <c r="D399">
        <v>4</v>
      </c>
      <c r="E399">
        <v>880</v>
      </c>
      <c r="F399">
        <v>398</v>
      </c>
      <c r="G399">
        <v>60.3</v>
      </c>
      <c r="H399" t="s">
        <v>184</v>
      </c>
    </row>
    <row r="400" spans="1:8">
      <c r="A400">
        <v>3061</v>
      </c>
      <c r="B400" t="s">
        <v>138</v>
      </c>
      <c r="C400">
        <v>146</v>
      </c>
      <c r="D400">
        <v>6</v>
      </c>
      <c r="E400">
        <v>876</v>
      </c>
      <c r="F400">
        <v>399</v>
      </c>
      <c r="G400">
        <v>60.4</v>
      </c>
      <c r="H400" t="s">
        <v>184</v>
      </c>
    </row>
    <row r="401" spans="1:8">
      <c r="A401">
        <v>150</v>
      </c>
      <c r="B401" t="s">
        <v>518</v>
      </c>
      <c r="C401">
        <v>175</v>
      </c>
      <c r="D401">
        <v>5</v>
      </c>
      <c r="E401">
        <v>875</v>
      </c>
      <c r="F401">
        <v>400</v>
      </c>
      <c r="G401">
        <v>60.5</v>
      </c>
      <c r="H401" t="s">
        <v>184</v>
      </c>
    </row>
    <row r="402" spans="1:8">
      <c r="A402">
        <v>2869</v>
      </c>
      <c r="B402" t="s">
        <v>496</v>
      </c>
      <c r="C402">
        <v>175</v>
      </c>
      <c r="D402">
        <v>5</v>
      </c>
      <c r="E402">
        <v>875</v>
      </c>
      <c r="F402">
        <v>401</v>
      </c>
      <c r="G402">
        <v>60.5</v>
      </c>
      <c r="H402" t="s">
        <v>184</v>
      </c>
    </row>
    <row r="403" spans="1:8">
      <c r="A403">
        <v>409</v>
      </c>
      <c r="B403" t="s">
        <v>519</v>
      </c>
      <c r="C403">
        <v>437</v>
      </c>
      <c r="D403">
        <v>2</v>
      </c>
      <c r="E403">
        <v>874</v>
      </c>
      <c r="F403">
        <v>402</v>
      </c>
      <c r="G403">
        <v>60.6</v>
      </c>
      <c r="H403" t="s">
        <v>184</v>
      </c>
    </row>
    <row r="404" spans="1:8">
      <c r="A404">
        <v>317</v>
      </c>
      <c r="B404" t="s">
        <v>520</v>
      </c>
      <c r="C404">
        <v>145</v>
      </c>
      <c r="D404">
        <v>6</v>
      </c>
      <c r="E404">
        <v>870</v>
      </c>
      <c r="F404">
        <v>403</v>
      </c>
      <c r="G404">
        <v>60.7</v>
      </c>
      <c r="H404" t="s">
        <v>184</v>
      </c>
    </row>
    <row r="405" spans="1:8">
      <c r="A405">
        <v>1218</v>
      </c>
      <c r="B405" t="s">
        <v>521</v>
      </c>
      <c r="C405">
        <v>145</v>
      </c>
      <c r="D405">
        <v>6</v>
      </c>
      <c r="E405">
        <v>870</v>
      </c>
      <c r="F405">
        <v>404</v>
      </c>
      <c r="G405">
        <v>60.8</v>
      </c>
      <c r="H405" t="s">
        <v>184</v>
      </c>
    </row>
    <row r="406" spans="1:8">
      <c r="A406">
        <v>2853</v>
      </c>
      <c r="B406" t="s">
        <v>522</v>
      </c>
      <c r="C406">
        <v>174</v>
      </c>
      <c r="D406">
        <v>5</v>
      </c>
      <c r="E406">
        <v>870</v>
      </c>
      <c r="F406">
        <v>405</v>
      </c>
      <c r="G406">
        <v>60.9</v>
      </c>
      <c r="H406" t="s">
        <v>184</v>
      </c>
    </row>
    <row r="407" spans="1:8">
      <c r="A407">
        <v>2937</v>
      </c>
      <c r="B407" t="s">
        <v>523</v>
      </c>
      <c r="C407">
        <v>174</v>
      </c>
      <c r="D407">
        <v>5</v>
      </c>
      <c r="E407">
        <v>870</v>
      </c>
      <c r="F407">
        <v>406</v>
      </c>
      <c r="G407">
        <v>61</v>
      </c>
      <c r="H407" t="s">
        <v>184</v>
      </c>
    </row>
    <row r="408" spans="1:8">
      <c r="A408">
        <v>2984</v>
      </c>
      <c r="B408" t="s">
        <v>524</v>
      </c>
      <c r="C408">
        <v>145</v>
      </c>
      <c r="D408">
        <v>6</v>
      </c>
      <c r="E408">
        <v>870</v>
      </c>
      <c r="F408">
        <v>407</v>
      </c>
      <c r="G408">
        <v>61</v>
      </c>
      <c r="H408" t="s">
        <v>184</v>
      </c>
    </row>
    <row r="409" spans="1:8">
      <c r="A409">
        <v>242</v>
      </c>
      <c r="B409" t="s">
        <v>525</v>
      </c>
      <c r="C409">
        <v>215</v>
      </c>
      <c r="D409">
        <v>4</v>
      </c>
      <c r="E409">
        <v>860</v>
      </c>
      <c r="F409">
        <v>408</v>
      </c>
      <c r="G409">
        <v>61.1</v>
      </c>
      <c r="H409" t="s">
        <v>184</v>
      </c>
    </row>
    <row r="410" spans="1:8">
      <c r="A410">
        <v>2870</v>
      </c>
      <c r="B410" t="s">
        <v>157</v>
      </c>
      <c r="C410">
        <v>143</v>
      </c>
      <c r="D410">
        <v>6</v>
      </c>
      <c r="E410">
        <v>858</v>
      </c>
      <c r="F410">
        <v>409</v>
      </c>
      <c r="G410">
        <v>61.2</v>
      </c>
      <c r="H410" t="s">
        <v>184</v>
      </c>
    </row>
    <row r="411" spans="1:8">
      <c r="A411">
        <v>3454</v>
      </c>
      <c r="B411" t="s">
        <v>526</v>
      </c>
      <c r="C411">
        <v>143</v>
      </c>
      <c r="D411">
        <v>6</v>
      </c>
      <c r="E411">
        <v>858</v>
      </c>
      <c r="F411">
        <v>410</v>
      </c>
      <c r="G411">
        <v>61.3</v>
      </c>
      <c r="H411" t="s">
        <v>184</v>
      </c>
    </row>
    <row r="412" spans="1:8">
      <c r="A412">
        <v>3653</v>
      </c>
      <c r="B412" t="s">
        <v>527</v>
      </c>
      <c r="C412">
        <v>143</v>
      </c>
      <c r="D412">
        <v>6</v>
      </c>
      <c r="E412">
        <v>858</v>
      </c>
      <c r="F412">
        <v>411</v>
      </c>
      <c r="G412">
        <v>61.4</v>
      </c>
      <c r="H412" t="s">
        <v>184</v>
      </c>
    </row>
    <row r="413" spans="1:8">
      <c r="A413">
        <v>385</v>
      </c>
      <c r="B413" t="s">
        <v>528</v>
      </c>
      <c r="C413">
        <v>171</v>
      </c>
      <c r="D413">
        <v>5</v>
      </c>
      <c r="E413">
        <v>855</v>
      </c>
      <c r="F413">
        <v>412</v>
      </c>
      <c r="G413">
        <v>61.4</v>
      </c>
      <c r="H413" t="s">
        <v>184</v>
      </c>
    </row>
    <row r="414" spans="1:8">
      <c r="A414">
        <v>280</v>
      </c>
      <c r="B414" t="s">
        <v>123</v>
      </c>
      <c r="C414">
        <v>142</v>
      </c>
      <c r="D414">
        <v>6</v>
      </c>
      <c r="E414">
        <v>852</v>
      </c>
      <c r="F414">
        <v>413</v>
      </c>
      <c r="G414">
        <v>61.5</v>
      </c>
      <c r="H414" t="s">
        <v>184</v>
      </c>
    </row>
    <row r="415" spans="1:8">
      <c r="A415">
        <v>490</v>
      </c>
      <c r="B415" t="s">
        <v>529</v>
      </c>
      <c r="C415">
        <v>170</v>
      </c>
      <c r="D415">
        <v>5</v>
      </c>
      <c r="E415">
        <v>850</v>
      </c>
      <c r="F415">
        <v>414</v>
      </c>
      <c r="G415">
        <v>61.6</v>
      </c>
      <c r="H415" t="s">
        <v>184</v>
      </c>
    </row>
    <row r="416" spans="1:8">
      <c r="A416">
        <v>2811</v>
      </c>
      <c r="B416" t="s">
        <v>530</v>
      </c>
      <c r="C416">
        <v>141</v>
      </c>
      <c r="D416">
        <v>6</v>
      </c>
      <c r="E416">
        <v>846</v>
      </c>
      <c r="F416">
        <v>415</v>
      </c>
      <c r="G416">
        <v>61.7</v>
      </c>
      <c r="H416" t="s">
        <v>184</v>
      </c>
    </row>
    <row r="417" spans="1:8">
      <c r="A417">
        <v>2913</v>
      </c>
      <c r="B417" t="s">
        <v>531</v>
      </c>
      <c r="C417">
        <v>282</v>
      </c>
      <c r="D417">
        <v>3</v>
      </c>
      <c r="E417">
        <v>846</v>
      </c>
      <c r="F417">
        <v>416</v>
      </c>
      <c r="G417">
        <v>61.8</v>
      </c>
      <c r="H417" t="s">
        <v>184</v>
      </c>
    </row>
    <row r="418" spans="1:8">
      <c r="A418">
        <v>192</v>
      </c>
      <c r="B418" t="s">
        <v>532</v>
      </c>
      <c r="C418">
        <v>210</v>
      </c>
      <c r="D418">
        <v>4</v>
      </c>
      <c r="E418">
        <v>840</v>
      </c>
      <c r="F418">
        <v>417</v>
      </c>
      <c r="G418">
        <v>61.8</v>
      </c>
      <c r="H418" t="s">
        <v>184</v>
      </c>
    </row>
    <row r="419" spans="1:8">
      <c r="A419">
        <v>413</v>
      </c>
      <c r="B419" t="s">
        <v>533</v>
      </c>
      <c r="C419">
        <v>210</v>
      </c>
      <c r="D419">
        <v>4</v>
      </c>
      <c r="E419">
        <v>840</v>
      </c>
      <c r="F419">
        <v>418</v>
      </c>
      <c r="G419">
        <v>61.9</v>
      </c>
      <c r="H419" t="s">
        <v>184</v>
      </c>
    </row>
    <row r="420" spans="1:8">
      <c r="A420">
        <v>503</v>
      </c>
      <c r="B420" t="s">
        <v>534</v>
      </c>
      <c r="C420">
        <v>140</v>
      </c>
      <c r="D420">
        <v>6</v>
      </c>
      <c r="E420">
        <v>840</v>
      </c>
      <c r="F420">
        <v>419</v>
      </c>
      <c r="G420">
        <v>62</v>
      </c>
      <c r="H420" t="s">
        <v>184</v>
      </c>
    </row>
    <row r="421" spans="1:8">
      <c r="A421">
        <v>1529</v>
      </c>
      <c r="B421" t="s">
        <v>535</v>
      </c>
      <c r="C421">
        <v>140</v>
      </c>
      <c r="D421">
        <v>6</v>
      </c>
      <c r="E421">
        <v>840</v>
      </c>
      <c r="F421">
        <v>420</v>
      </c>
      <c r="G421">
        <v>62.1</v>
      </c>
      <c r="H421" t="s">
        <v>184</v>
      </c>
    </row>
    <row r="422" spans="1:8">
      <c r="A422">
        <v>1705</v>
      </c>
      <c r="B422" t="s">
        <v>70</v>
      </c>
      <c r="C422">
        <v>140</v>
      </c>
      <c r="D422">
        <v>6</v>
      </c>
      <c r="E422">
        <v>840</v>
      </c>
      <c r="F422">
        <v>421</v>
      </c>
      <c r="G422">
        <v>62.2</v>
      </c>
      <c r="H422" t="s">
        <v>184</v>
      </c>
    </row>
    <row r="423" spans="1:8">
      <c r="A423">
        <v>2788</v>
      </c>
      <c r="B423" t="s">
        <v>536</v>
      </c>
      <c r="C423">
        <v>210</v>
      </c>
      <c r="D423">
        <v>4</v>
      </c>
      <c r="E423">
        <v>840</v>
      </c>
      <c r="F423">
        <v>422</v>
      </c>
      <c r="G423">
        <v>62.2</v>
      </c>
      <c r="H423" t="s">
        <v>184</v>
      </c>
    </row>
    <row r="424" spans="1:8">
      <c r="A424">
        <v>2934</v>
      </c>
      <c r="B424" t="s">
        <v>537</v>
      </c>
      <c r="C424">
        <v>140</v>
      </c>
      <c r="D424">
        <v>6</v>
      </c>
      <c r="E424">
        <v>840</v>
      </c>
      <c r="F424">
        <v>423</v>
      </c>
      <c r="G424">
        <v>62.3</v>
      </c>
      <c r="H424" t="s">
        <v>184</v>
      </c>
    </row>
    <row r="425" spans="1:8">
      <c r="A425">
        <v>3551</v>
      </c>
      <c r="B425" t="s">
        <v>538</v>
      </c>
      <c r="C425">
        <v>140</v>
      </c>
      <c r="D425">
        <v>6</v>
      </c>
      <c r="E425">
        <v>840</v>
      </c>
      <c r="F425">
        <v>424</v>
      </c>
      <c r="G425">
        <v>62.4</v>
      </c>
      <c r="H425" t="s">
        <v>184</v>
      </c>
    </row>
    <row r="426" spans="1:8">
      <c r="A426">
        <v>3593</v>
      </c>
      <c r="B426" t="s">
        <v>539</v>
      </c>
      <c r="C426">
        <v>140</v>
      </c>
      <c r="D426">
        <v>6</v>
      </c>
      <c r="E426">
        <v>840</v>
      </c>
      <c r="F426">
        <v>425</v>
      </c>
      <c r="G426">
        <v>62.5</v>
      </c>
      <c r="H426" t="s">
        <v>184</v>
      </c>
    </row>
    <row r="427" spans="1:8">
      <c r="A427">
        <v>542</v>
      </c>
      <c r="B427" t="s">
        <v>540</v>
      </c>
      <c r="C427">
        <v>139</v>
      </c>
      <c r="D427">
        <v>6</v>
      </c>
      <c r="E427">
        <v>834</v>
      </c>
      <c r="F427">
        <v>426</v>
      </c>
      <c r="G427">
        <v>62.6</v>
      </c>
      <c r="H427" t="s">
        <v>184</v>
      </c>
    </row>
    <row r="428" spans="1:8">
      <c r="A428">
        <v>1624</v>
      </c>
      <c r="B428" t="s">
        <v>541</v>
      </c>
      <c r="C428">
        <v>165</v>
      </c>
      <c r="D428">
        <v>5</v>
      </c>
      <c r="E428">
        <v>825</v>
      </c>
      <c r="F428">
        <v>427</v>
      </c>
      <c r="G428">
        <v>62.6</v>
      </c>
      <c r="H428" t="s">
        <v>184</v>
      </c>
    </row>
    <row r="429" spans="1:8">
      <c r="A429">
        <v>2930</v>
      </c>
      <c r="B429" t="s">
        <v>542</v>
      </c>
      <c r="C429">
        <v>275</v>
      </c>
      <c r="D429">
        <v>3</v>
      </c>
      <c r="E429">
        <v>825</v>
      </c>
      <c r="F429">
        <v>428</v>
      </c>
      <c r="G429">
        <v>62.7</v>
      </c>
      <c r="H429" t="s">
        <v>184</v>
      </c>
    </row>
    <row r="430" spans="1:8">
      <c r="A430">
        <v>1196</v>
      </c>
      <c r="B430" t="s">
        <v>74</v>
      </c>
      <c r="C430">
        <v>137</v>
      </c>
      <c r="D430">
        <v>6</v>
      </c>
      <c r="E430">
        <v>822</v>
      </c>
      <c r="F430">
        <v>429</v>
      </c>
      <c r="G430">
        <v>62.8</v>
      </c>
      <c r="H430" t="s">
        <v>184</v>
      </c>
    </row>
    <row r="431" spans="1:8">
      <c r="A431">
        <v>1197</v>
      </c>
      <c r="B431" t="s">
        <v>543</v>
      </c>
      <c r="C431">
        <v>137</v>
      </c>
      <c r="D431">
        <v>6</v>
      </c>
      <c r="E431">
        <v>822</v>
      </c>
      <c r="F431">
        <v>430</v>
      </c>
      <c r="G431">
        <v>62.9</v>
      </c>
      <c r="H431" t="s">
        <v>184</v>
      </c>
    </row>
    <row r="432" spans="1:8">
      <c r="A432">
        <v>1198</v>
      </c>
      <c r="B432" t="s">
        <v>72</v>
      </c>
      <c r="C432">
        <v>137</v>
      </c>
      <c r="D432">
        <v>6</v>
      </c>
      <c r="E432">
        <v>822</v>
      </c>
      <c r="F432">
        <v>431</v>
      </c>
      <c r="G432">
        <v>62.9</v>
      </c>
      <c r="H432" t="s">
        <v>184</v>
      </c>
    </row>
    <row r="433" spans="1:8">
      <c r="A433">
        <v>1504</v>
      </c>
      <c r="B433" t="s">
        <v>544</v>
      </c>
      <c r="C433">
        <v>137</v>
      </c>
      <c r="D433">
        <v>6</v>
      </c>
      <c r="E433">
        <v>822</v>
      </c>
      <c r="F433">
        <v>432</v>
      </c>
      <c r="G433">
        <v>63</v>
      </c>
      <c r="H433" t="s">
        <v>184</v>
      </c>
    </row>
    <row r="434" spans="1:8">
      <c r="A434">
        <v>1555</v>
      </c>
      <c r="B434" t="s">
        <v>545</v>
      </c>
      <c r="C434">
        <v>137</v>
      </c>
      <c r="D434">
        <v>6</v>
      </c>
      <c r="E434">
        <v>822</v>
      </c>
      <c r="F434">
        <v>433</v>
      </c>
      <c r="G434">
        <v>63.1</v>
      </c>
      <c r="H434" t="s">
        <v>184</v>
      </c>
    </row>
    <row r="435" spans="1:8">
      <c r="A435">
        <v>2685</v>
      </c>
      <c r="B435" t="s">
        <v>546</v>
      </c>
      <c r="C435">
        <v>137</v>
      </c>
      <c r="D435">
        <v>6</v>
      </c>
      <c r="E435">
        <v>822</v>
      </c>
      <c r="F435">
        <v>434</v>
      </c>
      <c r="G435">
        <v>63.2</v>
      </c>
      <c r="H435" t="s">
        <v>184</v>
      </c>
    </row>
    <row r="436" spans="1:8">
      <c r="A436">
        <v>3485</v>
      </c>
      <c r="B436" t="s">
        <v>547</v>
      </c>
      <c r="C436">
        <v>137</v>
      </c>
      <c r="D436">
        <v>6</v>
      </c>
      <c r="E436">
        <v>822</v>
      </c>
      <c r="F436">
        <v>435</v>
      </c>
      <c r="G436">
        <v>63.3</v>
      </c>
      <c r="H436" t="s">
        <v>184</v>
      </c>
    </row>
    <row r="437" spans="1:8">
      <c r="A437">
        <v>315</v>
      </c>
      <c r="B437" t="s">
        <v>548</v>
      </c>
      <c r="C437">
        <v>270</v>
      </c>
      <c r="D437">
        <v>3</v>
      </c>
      <c r="E437">
        <v>810</v>
      </c>
      <c r="F437">
        <v>436</v>
      </c>
      <c r="G437">
        <v>63.3</v>
      </c>
      <c r="H437" t="s">
        <v>184</v>
      </c>
    </row>
    <row r="438" spans="1:8">
      <c r="A438">
        <v>510</v>
      </c>
      <c r="B438" t="s">
        <v>549</v>
      </c>
      <c r="C438">
        <v>135</v>
      </c>
      <c r="D438">
        <v>6</v>
      </c>
      <c r="E438">
        <v>810</v>
      </c>
      <c r="F438">
        <v>437</v>
      </c>
      <c r="G438">
        <v>63.4</v>
      </c>
      <c r="H438" t="s">
        <v>184</v>
      </c>
    </row>
    <row r="439" spans="1:8">
      <c r="A439">
        <v>2909</v>
      </c>
      <c r="B439" t="s">
        <v>550</v>
      </c>
      <c r="C439">
        <v>135</v>
      </c>
      <c r="D439">
        <v>6</v>
      </c>
      <c r="E439">
        <v>810</v>
      </c>
      <c r="F439">
        <v>438</v>
      </c>
      <c r="G439">
        <v>63.5</v>
      </c>
      <c r="H439" t="s">
        <v>184</v>
      </c>
    </row>
    <row r="440" spans="1:8">
      <c r="A440">
        <v>3060</v>
      </c>
      <c r="B440" t="s">
        <v>150</v>
      </c>
      <c r="C440">
        <v>135</v>
      </c>
      <c r="D440">
        <v>6</v>
      </c>
      <c r="E440">
        <v>810</v>
      </c>
      <c r="F440">
        <v>439</v>
      </c>
      <c r="G440">
        <v>63.6</v>
      </c>
      <c r="H440" t="s">
        <v>184</v>
      </c>
    </row>
    <row r="441" spans="1:8">
      <c r="A441">
        <v>3460</v>
      </c>
      <c r="B441" t="s">
        <v>551</v>
      </c>
      <c r="C441">
        <v>135</v>
      </c>
      <c r="D441">
        <v>6</v>
      </c>
      <c r="E441">
        <v>810</v>
      </c>
      <c r="F441">
        <v>440</v>
      </c>
      <c r="G441">
        <v>63.6</v>
      </c>
      <c r="H441" t="s">
        <v>184</v>
      </c>
    </row>
    <row r="442" spans="1:8">
      <c r="A442">
        <v>3540</v>
      </c>
      <c r="B442" t="s">
        <v>552</v>
      </c>
      <c r="C442">
        <v>135</v>
      </c>
      <c r="D442">
        <v>6</v>
      </c>
      <c r="E442">
        <v>810</v>
      </c>
      <c r="F442">
        <v>441</v>
      </c>
      <c r="G442">
        <v>63.7</v>
      </c>
      <c r="H442" t="s">
        <v>184</v>
      </c>
    </row>
    <row r="443" spans="1:8">
      <c r="A443">
        <v>3561</v>
      </c>
      <c r="B443" t="s">
        <v>553</v>
      </c>
      <c r="C443">
        <v>135</v>
      </c>
      <c r="D443">
        <v>6</v>
      </c>
      <c r="E443">
        <v>810</v>
      </c>
      <c r="F443">
        <v>442</v>
      </c>
      <c r="G443">
        <v>63.8</v>
      </c>
      <c r="H443" t="s">
        <v>184</v>
      </c>
    </row>
    <row r="444" spans="1:8">
      <c r="A444">
        <v>3672</v>
      </c>
      <c r="B444" t="s">
        <v>554</v>
      </c>
      <c r="C444">
        <v>135</v>
      </c>
      <c r="D444">
        <v>6</v>
      </c>
      <c r="E444">
        <v>810</v>
      </c>
      <c r="F444">
        <v>443</v>
      </c>
      <c r="G444">
        <v>63.9</v>
      </c>
      <c r="H444" t="s">
        <v>184</v>
      </c>
    </row>
    <row r="445" spans="1:8">
      <c r="A445">
        <v>2902</v>
      </c>
      <c r="B445" t="s">
        <v>555</v>
      </c>
      <c r="C445">
        <v>160</v>
      </c>
      <c r="D445">
        <v>5</v>
      </c>
      <c r="E445">
        <v>800</v>
      </c>
      <c r="F445">
        <v>444</v>
      </c>
      <c r="G445">
        <v>63.9</v>
      </c>
      <c r="H445" t="s">
        <v>184</v>
      </c>
    </row>
    <row r="446" spans="1:8">
      <c r="A446">
        <v>1173</v>
      </c>
      <c r="B446" t="s">
        <v>556</v>
      </c>
      <c r="C446">
        <v>133</v>
      </c>
      <c r="D446">
        <v>6</v>
      </c>
      <c r="E446">
        <v>798</v>
      </c>
      <c r="F446">
        <v>445</v>
      </c>
      <c r="G446">
        <v>64</v>
      </c>
      <c r="H446" t="s">
        <v>184</v>
      </c>
    </row>
    <row r="447" spans="1:8">
      <c r="A447">
        <v>1191</v>
      </c>
      <c r="B447" t="s">
        <v>557</v>
      </c>
      <c r="C447">
        <v>133</v>
      </c>
      <c r="D447">
        <v>6</v>
      </c>
      <c r="E447">
        <v>798</v>
      </c>
      <c r="F447">
        <v>446</v>
      </c>
      <c r="G447">
        <v>64.099999999999994</v>
      </c>
      <c r="H447" t="s">
        <v>184</v>
      </c>
    </row>
    <row r="448" spans="1:8">
      <c r="A448">
        <v>3717</v>
      </c>
      <c r="B448" t="s">
        <v>558</v>
      </c>
      <c r="C448">
        <v>133</v>
      </c>
      <c r="D448">
        <v>6</v>
      </c>
      <c r="E448">
        <v>798</v>
      </c>
      <c r="F448">
        <v>447</v>
      </c>
      <c r="G448">
        <v>64.2</v>
      </c>
      <c r="H448" t="s">
        <v>184</v>
      </c>
    </row>
    <row r="449" spans="1:8">
      <c r="A449">
        <v>1183</v>
      </c>
      <c r="B449" t="s">
        <v>559</v>
      </c>
      <c r="C449">
        <v>199</v>
      </c>
      <c r="D449">
        <v>4</v>
      </c>
      <c r="E449">
        <v>796</v>
      </c>
      <c r="F449">
        <v>448</v>
      </c>
      <c r="G449">
        <v>64.2</v>
      </c>
      <c r="H449" t="s">
        <v>184</v>
      </c>
    </row>
    <row r="450" spans="1:8">
      <c r="A450">
        <v>2670</v>
      </c>
      <c r="B450" t="s">
        <v>560</v>
      </c>
      <c r="C450">
        <v>199</v>
      </c>
      <c r="D450">
        <v>4</v>
      </c>
      <c r="E450">
        <v>796</v>
      </c>
      <c r="F450">
        <v>449</v>
      </c>
      <c r="G450">
        <v>64.3</v>
      </c>
      <c r="H450" t="s">
        <v>184</v>
      </c>
    </row>
    <row r="451" spans="1:8">
      <c r="A451">
        <v>2889</v>
      </c>
      <c r="B451" t="s">
        <v>561</v>
      </c>
      <c r="C451">
        <v>199</v>
      </c>
      <c r="D451">
        <v>4</v>
      </c>
      <c r="E451">
        <v>796</v>
      </c>
      <c r="F451">
        <v>450</v>
      </c>
      <c r="G451">
        <v>64.400000000000006</v>
      </c>
      <c r="H451" t="s">
        <v>184</v>
      </c>
    </row>
    <row r="452" spans="1:8">
      <c r="A452">
        <v>2960</v>
      </c>
      <c r="B452" t="s">
        <v>562</v>
      </c>
      <c r="C452">
        <v>199</v>
      </c>
      <c r="D452">
        <v>4</v>
      </c>
      <c r="E452">
        <v>796</v>
      </c>
      <c r="F452">
        <v>451</v>
      </c>
      <c r="G452">
        <v>64.5</v>
      </c>
      <c r="H452" t="s">
        <v>184</v>
      </c>
    </row>
    <row r="453" spans="1:8">
      <c r="A453">
        <v>441</v>
      </c>
      <c r="B453" t="s">
        <v>128</v>
      </c>
      <c r="C453">
        <v>132</v>
      </c>
      <c r="D453">
        <v>6</v>
      </c>
      <c r="E453">
        <v>792</v>
      </c>
      <c r="F453">
        <v>452</v>
      </c>
      <c r="G453">
        <v>64.5</v>
      </c>
      <c r="H453" t="s">
        <v>184</v>
      </c>
    </row>
    <row r="454" spans="1:8">
      <c r="A454">
        <v>3587</v>
      </c>
      <c r="B454" t="s">
        <v>563</v>
      </c>
      <c r="C454">
        <v>156</v>
      </c>
      <c r="D454">
        <v>5</v>
      </c>
      <c r="E454">
        <v>780</v>
      </c>
      <c r="F454">
        <v>453</v>
      </c>
      <c r="G454">
        <v>64.599999999999994</v>
      </c>
      <c r="H454" t="s">
        <v>184</v>
      </c>
    </row>
    <row r="455" spans="1:8">
      <c r="A455">
        <v>3671</v>
      </c>
      <c r="B455" t="s">
        <v>564</v>
      </c>
      <c r="C455">
        <v>130</v>
      </c>
      <c r="D455">
        <v>6</v>
      </c>
      <c r="E455">
        <v>780</v>
      </c>
      <c r="F455">
        <v>454</v>
      </c>
      <c r="G455">
        <v>64.7</v>
      </c>
      <c r="H455" t="s">
        <v>184</v>
      </c>
    </row>
    <row r="456" spans="1:8">
      <c r="A456">
        <v>344</v>
      </c>
      <c r="B456" t="s">
        <v>565</v>
      </c>
      <c r="C456">
        <v>194</v>
      </c>
      <c r="D456">
        <v>4</v>
      </c>
      <c r="E456">
        <v>776</v>
      </c>
      <c r="F456">
        <v>455</v>
      </c>
      <c r="G456">
        <v>64.8</v>
      </c>
      <c r="H456" t="s">
        <v>184</v>
      </c>
    </row>
    <row r="457" spans="1:8">
      <c r="A457">
        <v>1486</v>
      </c>
      <c r="B457" t="s">
        <v>566</v>
      </c>
      <c r="C457">
        <v>129</v>
      </c>
      <c r="D457">
        <v>6</v>
      </c>
      <c r="E457">
        <v>774</v>
      </c>
      <c r="F457">
        <v>456</v>
      </c>
      <c r="G457">
        <v>64.8</v>
      </c>
      <c r="H457" t="s">
        <v>184</v>
      </c>
    </row>
    <row r="458" spans="1:8">
      <c r="A458">
        <v>3614</v>
      </c>
      <c r="B458" t="s">
        <v>567</v>
      </c>
      <c r="C458">
        <v>129</v>
      </c>
      <c r="D458">
        <v>6</v>
      </c>
      <c r="E458">
        <v>774</v>
      </c>
      <c r="F458">
        <v>457</v>
      </c>
      <c r="G458">
        <v>64.900000000000006</v>
      </c>
      <c r="H458" t="s">
        <v>184</v>
      </c>
    </row>
    <row r="459" spans="1:8">
      <c r="A459">
        <v>1651</v>
      </c>
      <c r="B459" t="s">
        <v>568</v>
      </c>
      <c r="C459">
        <v>154</v>
      </c>
      <c r="D459">
        <v>5</v>
      </c>
      <c r="E459">
        <v>770</v>
      </c>
      <c r="F459">
        <v>458</v>
      </c>
      <c r="G459">
        <v>65</v>
      </c>
      <c r="H459" t="s">
        <v>184</v>
      </c>
    </row>
    <row r="460" spans="1:8">
      <c r="A460">
        <v>180</v>
      </c>
      <c r="B460" t="s">
        <v>569</v>
      </c>
      <c r="C460">
        <v>128</v>
      </c>
      <c r="D460">
        <v>6</v>
      </c>
      <c r="E460">
        <v>768</v>
      </c>
      <c r="F460">
        <v>459</v>
      </c>
      <c r="G460">
        <v>65.099999999999994</v>
      </c>
      <c r="H460" t="s">
        <v>184</v>
      </c>
    </row>
    <row r="461" spans="1:8">
      <c r="A461">
        <v>375</v>
      </c>
      <c r="B461" t="s">
        <v>102</v>
      </c>
      <c r="C461">
        <v>128</v>
      </c>
      <c r="D461">
        <v>6</v>
      </c>
      <c r="E461">
        <v>768</v>
      </c>
      <c r="F461">
        <v>460</v>
      </c>
      <c r="G461">
        <v>65.099999999999994</v>
      </c>
      <c r="H461" t="s">
        <v>184</v>
      </c>
    </row>
    <row r="462" spans="1:8">
      <c r="A462">
        <v>410</v>
      </c>
      <c r="B462" t="s">
        <v>570</v>
      </c>
      <c r="C462">
        <v>128</v>
      </c>
      <c r="D462">
        <v>6</v>
      </c>
      <c r="E462">
        <v>768</v>
      </c>
      <c r="F462">
        <v>461</v>
      </c>
      <c r="G462">
        <v>65.2</v>
      </c>
      <c r="H462" t="s">
        <v>184</v>
      </c>
    </row>
    <row r="463" spans="1:8">
      <c r="A463">
        <v>2780</v>
      </c>
      <c r="B463" t="s">
        <v>571</v>
      </c>
      <c r="C463">
        <v>128</v>
      </c>
      <c r="D463">
        <v>6</v>
      </c>
      <c r="E463">
        <v>768</v>
      </c>
      <c r="F463">
        <v>462</v>
      </c>
      <c r="G463">
        <v>65.3</v>
      </c>
      <c r="H463" t="s">
        <v>184</v>
      </c>
    </row>
    <row r="464" spans="1:8">
      <c r="A464">
        <v>3013</v>
      </c>
      <c r="B464" t="s">
        <v>572</v>
      </c>
      <c r="C464">
        <v>128</v>
      </c>
      <c r="D464">
        <v>6</v>
      </c>
      <c r="E464">
        <v>768</v>
      </c>
      <c r="F464">
        <v>463</v>
      </c>
      <c r="G464">
        <v>65.3</v>
      </c>
      <c r="H464" t="s">
        <v>184</v>
      </c>
    </row>
    <row r="465" spans="1:8">
      <c r="A465">
        <v>309</v>
      </c>
      <c r="B465" t="s">
        <v>573</v>
      </c>
      <c r="C465">
        <v>190</v>
      </c>
      <c r="D465">
        <v>4</v>
      </c>
      <c r="E465">
        <v>760</v>
      </c>
      <c r="F465">
        <v>464</v>
      </c>
      <c r="G465">
        <v>65.400000000000006</v>
      </c>
      <c r="H465" t="s">
        <v>184</v>
      </c>
    </row>
    <row r="466" spans="1:8">
      <c r="A466">
        <v>2896</v>
      </c>
      <c r="B466" t="s">
        <v>574</v>
      </c>
      <c r="C466">
        <v>190</v>
      </c>
      <c r="D466">
        <v>4</v>
      </c>
      <c r="E466">
        <v>760</v>
      </c>
      <c r="F466">
        <v>465</v>
      </c>
      <c r="G466">
        <v>65.5</v>
      </c>
      <c r="H466" t="s">
        <v>184</v>
      </c>
    </row>
    <row r="467" spans="1:8">
      <c r="A467">
        <v>3589</v>
      </c>
      <c r="B467" t="s">
        <v>575</v>
      </c>
      <c r="C467">
        <v>152</v>
      </c>
      <c r="D467">
        <v>5</v>
      </c>
      <c r="E467">
        <v>760</v>
      </c>
      <c r="F467">
        <v>466</v>
      </c>
      <c r="G467">
        <v>65.599999999999994</v>
      </c>
      <c r="H467" t="s">
        <v>184</v>
      </c>
    </row>
    <row r="468" spans="1:8">
      <c r="A468">
        <v>3032</v>
      </c>
      <c r="B468" t="s">
        <v>576</v>
      </c>
      <c r="C468">
        <v>189</v>
      </c>
      <c r="D468">
        <v>4</v>
      </c>
      <c r="E468">
        <v>756</v>
      </c>
      <c r="F468">
        <v>467</v>
      </c>
      <c r="G468">
        <v>65.599999999999994</v>
      </c>
      <c r="H468" t="s">
        <v>184</v>
      </c>
    </row>
    <row r="469" spans="1:8">
      <c r="A469">
        <v>3043</v>
      </c>
      <c r="B469" t="s">
        <v>577</v>
      </c>
      <c r="C469">
        <v>126</v>
      </c>
      <c r="D469">
        <v>6</v>
      </c>
      <c r="E469">
        <v>756</v>
      </c>
      <c r="F469">
        <v>468</v>
      </c>
      <c r="G469">
        <v>65.7</v>
      </c>
      <c r="H469" t="s">
        <v>184</v>
      </c>
    </row>
    <row r="470" spans="1:8">
      <c r="A470">
        <v>3465</v>
      </c>
      <c r="B470" t="s">
        <v>578</v>
      </c>
      <c r="C470">
        <v>126</v>
      </c>
      <c r="D470">
        <v>6</v>
      </c>
      <c r="E470">
        <v>756</v>
      </c>
      <c r="F470">
        <v>469</v>
      </c>
      <c r="G470">
        <v>65.8</v>
      </c>
      <c r="H470" t="s">
        <v>184</v>
      </c>
    </row>
    <row r="471" spans="1:8">
      <c r="A471">
        <v>3516</v>
      </c>
      <c r="B471" t="s">
        <v>579</v>
      </c>
      <c r="C471">
        <v>126</v>
      </c>
      <c r="D471">
        <v>6</v>
      </c>
      <c r="E471">
        <v>756</v>
      </c>
      <c r="F471">
        <v>470</v>
      </c>
      <c r="G471">
        <v>65.900000000000006</v>
      </c>
      <c r="H471" t="s">
        <v>184</v>
      </c>
    </row>
    <row r="472" spans="1:8">
      <c r="A472">
        <v>176</v>
      </c>
      <c r="B472" t="s">
        <v>580</v>
      </c>
      <c r="C472">
        <v>125</v>
      </c>
      <c r="D472">
        <v>6</v>
      </c>
      <c r="E472">
        <v>750</v>
      </c>
      <c r="F472">
        <v>471</v>
      </c>
      <c r="G472">
        <v>65.900000000000006</v>
      </c>
      <c r="H472" t="s">
        <v>184</v>
      </c>
    </row>
    <row r="473" spans="1:8">
      <c r="A473">
        <v>203</v>
      </c>
      <c r="B473" t="s">
        <v>581</v>
      </c>
      <c r="C473">
        <v>250</v>
      </c>
      <c r="D473">
        <v>3</v>
      </c>
      <c r="E473">
        <v>750</v>
      </c>
      <c r="F473">
        <v>472</v>
      </c>
      <c r="G473">
        <v>66</v>
      </c>
      <c r="H473" t="s">
        <v>184</v>
      </c>
    </row>
    <row r="474" spans="1:8">
      <c r="A474">
        <v>431</v>
      </c>
      <c r="B474" t="s">
        <v>582</v>
      </c>
      <c r="C474">
        <v>125</v>
      </c>
      <c r="D474">
        <v>6</v>
      </c>
      <c r="E474">
        <v>750</v>
      </c>
      <c r="F474">
        <v>473</v>
      </c>
      <c r="G474">
        <v>66.099999999999994</v>
      </c>
      <c r="H474" t="s">
        <v>184</v>
      </c>
    </row>
    <row r="475" spans="1:8">
      <c r="A475">
        <v>445</v>
      </c>
      <c r="B475" t="s">
        <v>583</v>
      </c>
      <c r="C475">
        <v>125</v>
      </c>
      <c r="D475">
        <v>6</v>
      </c>
      <c r="E475">
        <v>750</v>
      </c>
      <c r="F475">
        <v>474</v>
      </c>
      <c r="G475">
        <v>66.099999999999994</v>
      </c>
      <c r="H475" t="s">
        <v>184</v>
      </c>
    </row>
    <row r="476" spans="1:8">
      <c r="A476">
        <v>540</v>
      </c>
      <c r="B476" t="s">
        <v>584</v>
      </c>
      <c r="C476">
        <v>125</v>
      </c>
      <c r="D476">
        <v>6</v>
      </c>
      <c r="E476">
        <v>750</v>
      </c>
      <c r="F476">
        <v>475</v>
      </c>
      <c r="G476">
        <v>66.2</v>
      </c>
      <c r="H476" t="s">
        <v>184</v>
      </c>
    </row>
    <row r="477" spans="1:8">
      <c r="A477">
        <v>1489</v>
      </c>
      <c r="B477" t="s">
        <v>333</v>
      </c>
      <c r="C477">
        <v>150</v>
      </c>
      <c r="D477">
        <v>5</v>
      </c>
      <c r="E477">
        <v>750</v>
      </c>
      <c r="F477">
        <v>476</v>
      </c>
      <c r="G477">
        <v>66.3</v>
      </c>
      <c r="H477" t="s">
        <v>184</v>
      </c>
    </row>
    <row r="478" spans="1:8">
      <c r="A478">
        <v>2899</v>
      </c>
      <c r="B478" t="s">
        <v>585</v>
      </c>
      <c r="C478">
        <v>125</v>
      </c>
      <c r="D478">
        <v>6</v>
      </c>
      <c r="E478">
        <v>750</v>
      </c>
      <c r="F478">
        <v>477</v>
      </c>
      <c r="G478">
        <v>66.3</v>
      </c>
      <c r="H478" t="s">
        <v>184</v>
      </c>
    </row>
    <row r="479" spans="1:8">
      <c r="A479">
        <v>3040</v>
      </c>
      <c r="B479" t="s">
        <v>586</v>
      </c>
      <c r="C479">
        <v>375</v>
      </c>
      <c r="D479">
        <v>2</v>
      </c>
      <c r="E479">
        <v>750</v>
      </c>
      <c r="F479">
        <v>478</v>
      </c>
      <c r="G479">
        <v>66.400000000000006</v>
      </c>
      <c r="H479" t="s">
        <v>184</v>
      </c>
    </row>
    <row r="480" spans="1:8">
      <c r="A480">
        <v>3585</v>
      </c>
      <c r="B480" t="s">
        <v>587</v>
      </c>
      <c r="C480">
        <v>125</v>
      </c>
      <c r="D480">
        <v>6</v>
      </c>
      <c r="E480">
        <v>750</v>
      </c>
      <c r="F480">
        <v>479</v>
      </c>
      <c r="G480">
        <v>66.5</v>
      </c>
      <c r="H480" t="s">
        <v>184</v>
      </c>
    </row>
    <row r="481" spans="1:8">
      <c r="A481">
        <v>403</v>
      </c>
      <c r="B481" t="s">
        <v>588</v>
      </c>
      <c r="C481">
        <v>124</v>
      </c>
      <c r="D481">
        <v>6</v>
      </c>
      <c r="E481">
        <v>744</v>
      </c>
      <c r="F481">
        <v>480</v>
      </c>
      <c r="G481">
        <v>66.599999999999994</v>
      </c>
      <c r="H481" t="s">
        <v>184</v>
      </c>
    </row>
    <row r="482" spans="1:8">
      <c r="A482">
        <v>1402</v>
      </c>
      <c r="B482" t="s">
        <v>589</v>
      </c>
      <c r="C482">
        <v>124</v>
      </c>
      <c r="D482">
        <v>6</v>
      </c>
      <c r="E482">
        <v>744</v>
      </c>
      <c r="F482">
        <v>481</v>
      </c>
      <c r="G482">
        <v>66.599999999999994</v>
      </c>
      <c r="H482" t="s">
        <v>184</v>
      </c>
    </row>
    <row r="483" spans="1:8">
      <c r="A483">
        <v>2580</v>
      </c>
      <c r="B483" t="s">
        <v>590</v>
      </c>
      <c r="C483">
        <v>248</v>
      </c>
      <c r="D483">
        <v>3</v>
      </c>
      <c r="E483">
        <v>744</v>
      </c>
      <c r="F483">
        <v>482</v>
      </c>
      <c r="G483">
        <v>66.7</v>
      </c>
      <c r="H483" t="s">
        <v>184</v>
      </c>
    </row>
    <row r="484" spans="1:8">
      <c r="A484">
        <v>1682</v>
      </c>
      <c r="B484" t="s">
        <v>591</v>
      </c>
      <c r="C484">
        <v>123</v>
      </c>
      <c r="D484">
        <v>6</v>
      </c>
      <c r="E484">
        <v>738</v>
      </c>
      <c r="F484">
        <v>483</v>
      </c>
      <c r="G484">
        <v>66.8</v>
      </c>
      <c r="H484" t="s">
        <v>184</v>
      </c>
    </row>
    <row r="485" spans="1:8">
      <c r="A485">
        <v>376</v>
      </c>
      <c r="B485" t="s">
        <v>592</v>
      </c>
      <c r="C485">
        <v>147</v>
      </c>
      <c r="D485">
        <v>5</v>
      </c>
      <c r="E485">
        <v>735</v>
      </c>
      <c r="F485">
        <v>484</v>
      </c>
      <c r="G485">
        <v>66.8</v>
      </c>
      <c r="H485" t="s">
        <v>184</v>
      </c>
    </row>
    <row r="486" spans="1:8">
      <c r="A486">
        <v>2881</v>
      </c>
      <c r="B486" t="s">
        <v>593</v>
      </c>
      <c r="C486">
        <v>147</v>
      </c>
      <c r="D486">
        <v>5</v>
      </c>
      <c r="E486">
        <v>735</v>
      </c>
      <c r="F486">
        <v>485</v>
      </c>
      <c r="G486">
        <v>66.900000000000006</v>
      </c>
      <c r="H486" t="s">
        <v>184</v>
      </c>
    </row>
    <row r="487" spans="1:8">
      <c r="A487">
        <v>117</v>
      </c>
      <c r="B487" t="s">
        <v>594</v>
      </c>
      <c r="C487">
        <v>183</v>
      </c>
      <c r="D487">
        <v>4</v>
      </c>
      <c r="E487">
        <v>732</v>
      </c>
      <c r="F487">
        <v>486</v>
      </c>
      <c r="G487">
        <v>67</v>
      </c>
      <c r="H487" t="s">
        <v>184</v>
      </c>
    </row>
    <row r="488" spans="1:8">
      <c r="A488">
        <v>259</v>
      </c>
      <c r="B488" t="s">
        <v>595</v>
      </c>
      <c r="C488">
        <v>122</v>
      </c>
      <c r="D488">
        <v>6</v>
      </c>
      <c r="E488">
        <v>732</v>
      </c>
      <c r="F488">
        <v>487</v>
      </c>
      <c r="G488">
        <v>67</v>
      </c>
      <c r="H488" t="s">
        <v>184</v>
      </c>
    </row>
    <row r="489" spans="1:8">
      <c r="A489">
        <v>237</v>
      </c>
      <c r="B489" t="s">
        <v>596</v>
      </c>
      <c r="C489">
        <v>120</v>
      </c>
      <c r="D489">
        <v>6</v>
      </c>
      <c r="E489">
        <v>720</v>
      </c>
      <c r="F489">
        <v>488</v>
      </c>
      <c r="G489">
        <v>67.099999999999994</v>
      </c>
      <c r="H489" t="s">
        <v>184</v>
      </c>
    </row>
    <row r="490" spans="1:8">
      <c r="A490">
        <v>293</v>
      </c>
      <c r="B490" t="s">
        <v>597</v>
      </c>
      <c r="C490">
        <v>120</v>
      </c>
      <c r="D490">
        <v>6</v>
      </c>
      <c r="E490">
        <v>720</v>
      </c>
      <c r="F490">
        <v>489</v>
      </c>
      <c r="G490">
        <v>67.2</v>
      </c>
      <c r="H490" t="s">
        <v>184</v>
      </c>
    </row>
    <row r="491" spans="1:8">
      <c r="A491">
        <v>514</v>
      </c>
      <c r="B491" t="s">
        <v>598</v>
      </c>
      <c r="C491">
        <v>120</v>
      </c>
      <c r="D491">
        <v>6</v>
      </c>
      <c r="E491">
        <v>720</v>
      </c>
      <c r="F491">
        <v>490</v>
      </c>
      <c r="G491">
        <v>67.3</v>
      </c>
      <c r="H491" t="s">
        <v>184</v>
      </c>
    </row>
    <row r="492" spans="1:8">
      <c r="A492">
        <v>1142</v>
      </c>
      <c r="B492" t="s">
        <v>599</v>
      </c>
      <c r="C492">
        <v>120</v>
      </c>
      <c r="D492">
        <v>6</v>
      </c>
      <c r="E492">
        <v>720</v>
      </c>
      <c r="F492">
        <v>491</v>
      </c>
      <c r="G492">
        <v>67.3</v>
      </c>
      <c r="H492" t="s">
        <v>184</v>
      </c>
    </row>
    <row r="493" spans="1:8">
      <c r="A493">
        <v>1686</v>
      </c>
      <c r="B493" t="s">
        <v>600</v>
      </c>
      <c r="C493">
        <v>120</v>
      </c>
      <c r="D493">
        <v>6</v>
      </c>
      <c r="E493">
        <v>720</v>
      </c>
      <c r="F493">
        <v>492</v>
      </c>
      <c r="G493">
        <v>67.400000000000006</v>
      </c>
      <c r="H493" t="s">
        <v>184</v>
      </c>
    </row>
    <row r="494" spans="1:8">
      <c r="A494">
        <v>1704</v>
      </c>
      <c r="B494" t="s">
        <v>601</v>
      </c>
      <c r="C494">
        <v>120</v>
      </c>
      <c r="D494">
        <v>6</v>
      </c>
      <c r="E494">
        <v>720</v>
      </c>
      <c r="F494">
        <v>493</v>
      </c>
      <c r="G494">
        <v>67.5</v>
      </c>
      <c r="H494" t="s">
        <v>184</v>
      </c>
    </row>
    <row r="495" spans="1:8">
      <c r="A495">
        <v>2664</v>
      </c>
      <c r="B495" t="s">
        <v>136</v>
      </c>
      <c r="C495">
        <v>120</v>
      </c>
      <c r="D495">
        <v>6</v>
      </c>
      <c r="E495">
        <v>720</v>
      </c>
      <c r="F495">
        <v>494</v>
      </c>
      <c r="G495">
        <v>67.5</v>
      </c>
      <c r="H495" t="s">
        <v>184</v>
      </c>
    </row>
    <row r="496" spans="1:8">
      <c r="A496">
        <v>2868</v>
      </c>
      <c r="B496" t="s">
        <v>425</v>
      </c>
      <c r="C496">
        <v>180</v>
      </c>
      <c r="D496">
        <v>4</v>
      </c>
      <c r="E496">
        <v>720</v>
      </c>
      <c r="F496">
        <v>495</v>
      </c>
      <c r="G496">
        <v>67.599999999999994</v>
      </c>
      <c r="H496" t="s">
        <v>184</v>
      </c>
    </row>
    <row r="497" spans="1:8">
      <c r="A497">
        <v>3045</v>
      </c>
      <c r="B497" t="s">
        <v>602</v>
      </c>
      <c r="C497">
        <v>120</v>
      </c>
      <c r="D497">
        <v>6</v>
      </c>
      <c r="E497">
        <v>720</v>
      </c>
      <c r="F497">
        <v>496</v>
      </c>
      <c r="G497">
        <v>67.7</v>
      </c>
      <c r="H497" t="s">
        <v>184</v>
      </c>
    </row>
    <row r="498" spans="1:8">
      <c r="A498">
        <v>3680</v>
      </c>
      <c r="B498" t="s">
        <v>603</v>
      </c>
      <c r="C498">
        <v>120</v>
      </c>
      <c r="D498">
        <v>6</v>
      </c>
      <c r="E498">
        <v>720</v>
      </c>
      <c r="F498">
        <v>497</v>
      </c>
      <c r="G498">
        <v>67.7</v>
      </c>
      <c r="H498" t="s">
        <v>184</v>
      </c>
    </row>
    <row r="499" spans="1:8">
      <c r="A499">
        <v>62</v>
      </c>
      <c r="B499" t="s">
        <v>604</v>
      </c>
      <c r="C499">
        <v>119</v>
      </c>
      <c r="D499">
        <v>6</v>
      </c>
      <c r="E499">
        <v>714</v>
      </c>
      <c r="F499">
        <v>498</v>
      </c>
      <c r="G499">
        <v>67.8</v>
      </c>
      <c r="H499" t="s">
        <v>184</v>
      </c>
    </row>
    <row r="500" spans="1:8">
      <c r="A500">
        <v>1211</v>
      </c>
      <c r="B500" t="s">
        <v>605</v>
      </c>
      <c r="C500">
        <v>119</v>
      </c>
      <c r="D500">
        <v>6</v>
      </c>
      <c r="E500">
        <v>714</v>
      </c>
      <c r="F500">
        <v>499</v>
      </c>
      <c r="G500">
        <v>67.900000000000006</v>
      </c>
      <c r="H500" t="s">
        <v>184</v>
      </c>
    </row>
    <row r="501" spans="1:8">
      <c r="A501">
        <v>1674</v>
      </c>
      <c r="B501" t="s">
        <v>606</v>
      </c>
      <c r="C501">
        <v>119</v>
      </c>
      <c r="D501">
        <v>6</v>
      </c>
      <c r="E501">
        <v>714</v>
      </c>
      <c r="F501">
        <v>500</v>
      </c>
      <c r="G501">
        <v>67.900000000000006</v>
      </c>
      <c r="H501" t="s">
        <v>184</v>
      </c>
    </row>
    <row r="502" spans="1:8">
      <c r="A502">
        <v>1711</v>
      </c>
      <c r="B502" t="s">
        <v>607</v>
      </c>
      <c r="C502">
        <v>119</v>
      </c>
      <c r="D502">
        <v>6</v>
      </c>
      <c r="E502">
        <v>714</v>
      </c>
      <c r="F502">
        <v>501</v>
      </c>
      <c r="G502">
        <v>68</v>
      </c>
      <c r="H502" t="s">
        <v>184</v>
      </c>
    </row>
    <row r="503" spans="1:8">
      <c r="A503">
        <v>2812</v>
      </c>
      <c r="B503" t="s">
        <v>608</v>
      </c>
      <c r="C503">
        <v>119</v>
      </c>
      <c r="D503">
        <v>6</v>
      </c>
      <c r="E503">
        <v>714</v>
      </c>
      <c r="F503">
        <v>502</v>
      </c>
      <c r="G503">
        <v>68.099999999999994</v>
      </c>
      <c r="H503" t="s">
        <v>184</v>
      </c>
    </row>
    <row r="504" spans="1:8">
      <c r="A504">
        <v>367</v>
      </c>
      <c r="B504" t="s">
        <v>609</v>
      </c>
      <c r="C504">
        <v>118</v>
      </c>
      <c r="D504">
        <v>6</v>
      </c>
      <c r="E504">
        <v>708</v>
      </c>
      <c r="F504">
        <v>503</v>
      </c>
      <c r="G504">
        <v>68.099999999999994</v>
      </c>
      <c r="H504" t="s">
        <v>184</v>
      </c>
    </row>
    <row r="505" spans="1:8">
      <c r="A505">
        <v>401</v>
      </c>
      <c r="B505" t="s">
        <v>104</v>
      </c>
      <c r="C505">
        <v>118</v>
      </c>
      <c r="D505">
        <v>6</v>
      </c>
      <c r="E505">
        <v>708</v>
      </c>
      <c r="F505">
        <v>504</v>
      </c>
      <c r="G505">
        <v>68.2</v>
      </c>
      <c r="H505" t="s">
        <v>184</v>
      </c>
    </row>
    <row r="506" spans="1:8">
      <c r="A506">
        <v>1203</v>
      </c>
      <c r="B506" t="s">
        <v>610</v>
      </c>
      <c r="C506">
        <v>118</v>
      </c>
      <c r="D506">
        <v>6</v>
      </c>
      <c r="E506">
        <v>708</v>
      </c>
      <c r="F506">
        <v>505</v>
      </c>
      <c r="G506">
        <v>68.3</v>
      </c>
      <c r="H506" t="s">
        <v>184</v>
      </c>
    </row>
    <row r="507" spans="1:8">
      <c r="A507">
        <v>2864</v>
      </c>
      <c r="B507" t="s">
        <v>611</v>
      </c>
      <c r="C507">
        <v>177</v>
      </c>
      <c r="D507">
        <v>4</v>
      </c>
      <c r="E507">
        <v>708</v>
      </c>
      <c r="F507">
        <v>506</v>
      </c>
      <c r="G507">
        <v>68.3</v>
      </c>
      <c r="H507" t="s">
        <v>184</v>
      </c>
    </row>
    <row r="508" spans="1:8">
      <c r="A508">
        <v>2789</v>
      </c>
      <c r="B508" t="s">
        <v>111</v>
      </c>
      <c r="C508">
        <v>141</v>
      </c>
      <c r="D508">
        <v>5</v>
      </c>
      <c r="E508">
        <v>705</v>
      </c>
      <c r="F508">
        <v>507</v>
      </c>
      <c r="G508">
        <v>68.400000000000006</v>
      </c>
      <c r="H508" t="s">
        <v>184</v>
      </c>
    </row>
    <row r="509" spans="1:8">
      <c r="A509">
        <v>3664</v>
      </c>
      <c r="B509" t="s">
        <v>612</v>
      </c>
      <c r="C509">
        <v>141</v>
      </c>
      <c r="D509">
        <v>5</v>
      </c>
      <c r="E509">
        <v>705</v>
      </c>
      <c r="F509">
        <v>508</v>
      </c>
      <c r="G509">
        <v>68.5</v>
      </c>
      <c r="H509" t="s">
        <v>184</v>
      </c>
    </row>
    <row r="510" spans="1:8">
      <c r="A510">
        <v>1516</v>
      </c>
      <c r="B510" t="s">
        <v>158</v>
      </c>
      <c r="C510">
        <v>117</v>
      </c>
      <c r="D510">
        <v>6</v>
      </c>
      <c r="E510">
        <v>702</v>
      </c>
      <c r="F510">
        <v>509</v>
      </c>
      <c r="G510">
        <v>68.5</v>
      </c>
      <c r="H510" t="s">
        <v>184</v>
      </c>
    </row>
    <row r="511" spans="1:8">
      <c r="A511">
        <v>3663</v>
      </c>
      <c r="B511" t="s">
        <v>613</v>
      </c>
      <c r="C511">
        <v>117</v>
      </c>
      <c r="D511">
        <v>6</v>
      </c>
      <c r="E511">
        <v>702</v>
      </c>
      <c r="F511">
        <v>510</v>
      </c>
      <c r="G511">
        <v>68.599999999999994</v>
      </c>
      <c r="H511" t="s">
        <v>184</v>
      </c>
    </row>
    <row r="512" spans="1:8">
      <c r="A512">
        <v>446</v>
      </c>
      <c r="B512" t="s">
        <v>614</v>
      </c>
      <c r="C512">
        <v>140</v>
      </c>
      <c r="D512">
        <v>5</v>
      </c>
      <c r="E512">
        <v>700</v>
      </c>
      <c r="F512">
        <v>511</v>
      </c>
      <c r="G512">
        <v>68.7</v>
      </c>
      <c r="H512" t="s">
        <v>184</v>
      </c>
    </row>
    <row r="513" spans="1:8">
      <c r="A513">
        <v>1560</v>
      </c>
      <c r="B513" t="s">
        <v>69</v>
      </c>
      <c r="C513">
        <v>140</v>
      </c>
      <c r="D513">
        <v>5</v>
      </c>
      <c r="E513">
        <v>700</v>
      </c>
      <c r="F513">
        <v>512</v>
      </c>
      <c r="G513">
        <v>68.7</v>
      </c>
      <c r="H513" t="s">
        <v>184</v>
      </c>
    </row>
    <row r="514" spans="1:8">
      <c r="A514">
        <v>1610</v>
      </c>
      <c r="B514" t="s">
        <v>68</v>
      </c>
      <c r="C514">
        <v>140</v>
      </c>
      <c r="D514">
        <v>5</v>
      </c>
      <c r="E514">
        <v>700</v>
      </c>
      <c r="F514">
        <v>513</v>
      </c>
      <c r="G514">
        <v>68.8</v>
      </c>
      <c r="H514" t="s">
        <v>184</v>
      </c>
    </row>
    <row r="515" spans="1:8">
      <c r="A515">
        <v>1644</v>
      </c>
      <c r="B515" t="s">
        <v>71</v>
      </c>
      <c r="C515">
        <v>140</v>
      </c>
      <c r="D515">
        <v>5</v>
      </c>
      <c r="E515">
        <v>700</v>
      </c>
      <c r="F515">
        <v>514</v>
      </c>
      <c r="G515">
        <v>68.900000000000006</v>
      </c>
      <c r="H515" t="s">
        <v>184</v>
      </c>
    </row>
    <row r="516" spans="1:8">
      <c r="A516">
        <v>3446</v>
      </c>
      <c r="B516" t="s">
        <v>615</v>
      </c>
      <c r="C516">
        <v>175</v>
      </c>
      <c r="D516">
        <v>4</v>
      </c>
      <c r="E516">
        <v>700</v>
      </c>
      <c r="F516">
        <v>515</v>
      </c>
      <c r="G516">
        <v>68.900000000000006</v>
      </c>
      <c r="H516" t="s">
        <v>184</v>
      </c>
    </row>
    <row r="517" spans="1:8">
      <c r="A517">
        <v>471</v>
      </c>
      <c r="B517" t="s">
        <v>616</v>
      </c>
      <c r="C517">
        <v>116</v>
      </c>
      <c r="D517">
        <v>6</v>
      </c>
      <c r="E517">
        <v>696</v>
      </c>
      <c r="F517">
        <v>516</v>
      </c>
      <c r="G517">
        <v>69</v>
      </c>
      <c r="H517" t="s">
        <v>184</v>
      </c>
    </row>
    <row r="518" spans="1:8">
      <c r="A518">
        <v>2798</v>
      </c>
      <c r="B518" t="s">
        <v>617</v>
      </c>
      <c r="C518">
        <v>174</v>
      </c>
      <c r="D518">
        <v>4</v>
      </c>
      <c r="E518">
        <v>696</v>
      </c>
      <c r="F518">
        <v>517</v>
      </c>
      <c r="G518">
        <v>69.099999999999994</v>
      </c>
      <c r="H518" t="s">
        <v>184</v>
      </c>
    </row>
    <row r="519" spans="1:8">
      <c r="A519">
        <v>187</v>
      </c>
      <c r="B519" t="s">
        <v>618</v>
      </c>
      <c r="C519">
        <v>115</v>
      </c>
      <c r="D519">
        <v>6</v>
      </c>
      <c r="E519">
        <v>690</v>
      </c>
      <c r="F519">
        <v>518</v>
      </c>
      <c r="G519">
        <v>69.099999999999994</v>
      </c>
      <c r="H519" t="s">
        <v>184</v>
      </c>
    </row>
    <row r="520" spans="1:8">
      <c r="A520">
        <v>1609</v>
      </c>
      <c r="B520" t="s">
        <v>127</v>
      </c>
      <c r="C520">
        <v>115</v>
      </c>
      <c r="D520">
        <v>6</v>
      </c>
      <c r="E520">
        <v>690</v>
      </c>
      <c r="F520">
        <v>519</v>
      </c>
      <c r="G520">
        <v>69.2</v>
      </c>
      <c r="H520" t="s">
        <v>184</v>
      </c>
    </row>
    <row r="521" spans="1:8">
      <c r="A521">
        <v>2554</v>
      </c>
      <c r="B521" t="s">
        <v>619</v>
      </c>
      <c r="C521">
        <v>230</v>
      </c>
      <c r="D521">
        <v>3</v>
      </c>
      <c r="E521">
        <v>690</v>
      </c>
      <c r="F521">
        <v>520</v>
      </c>
      <c r="G521">
        <v>69.3</v>
      </c>
      <c r="H521" t="s">
        <v>184</v>
      </c>
    </row>
    <row r="522" spans="1:8">
      <c r="A522">
        <v>1608</v>
      </c>
      <c r="B522" t="s">
        <v>620</v>
      </c>
      <c r="C522">
        <v>137</v>
      </c>
      <c r="D522">
        <v>5</v>
      </c>
      <c r="E522">
        <v>685</v>
      </c>
      <c r="F522">
        <v>521</v>
      </c>
      <c r="G522">
        <v>69.3</v>
      </c>
      <c r="H522" t="s">
        <v>184</v>
      </c>
    </row>
    <row r="523" spans="1:8">
      <c r="A523">
        <v>1385</v>
      </c>
      <c r="B523" t="s">
        <v>621</v>
      </c>
      <c r="C523">
        <v>114</v>
      </c>
      <c r="D523">
        <v>6</v>
      </c>
      <c r="E523">
        <v>684</v>
      </c>
      <c r="F523">
        <v>522</v>
      </c>
      <c r="G523">
        <v>69.400000000000006</v>
      </c>
      <c r="H523" t="s">
        <v>184</v>
      </c>
    </row>
    <row r="524" spans="1:8">
      <c r="A524">
        <v>1420</v>
      </c>
      <c r="B524" t="s">
        <v>622</v>
      </c>
      <c r="C524">
        <v>114</v>
      </c>
      <c r="D524">
        <v>6</v>
      </c>
      <c r="E524">
        <v>684</v>
      </c>
      <c r="F524">
        <v>523</v>
      </c>
      <c r="G524">
        <v>69.400000000000006</v>
      </c>
      <c r="H524" t="s">
        <v>184</v>
      </c>
    </row>
    <row r="525" spans="1:8">
      <c r="A525">
        <v>1621</v>
      </c>
      <c r="B525" t="s">
        <v>623</v>
      </c>
      <c r="C525">
        <v>114</v>
      </c>
      <c r="D525">
        <v>6</v>
      </c>
      <c r="E525">
        <v>684</v>
      </c>
      <c r="F525">
        <v>524</v>
      </c>
      <c r="G525">
        <v>69.5</v>
      </c>
      <c r="H525" t="s">
        <v>184</v>
      </c>
    </row>
    <row r="526" spans="1:8">
      <c r="A526">
        <v>1694</v>
      </c>
      <c r="B526" t="s">
        <v>624</v>
      </c>
      <c r="C526">
        <v>114</v>
      </c>
      <c r="D526">
        <v>6</v>
      </c>
      <c r="E526">
        <v>684</v>
      </c>
      <c r="F526">
        <v>525</v>
      </c>
      <c r="G526">
        <v>69.599999999999994</v>
      </c>
      <c r="H526" t="s">
        <v>184</v>
      </c>
    </row>
    <row r="527" spans="1:8">
      <c r="A527">
        <v>1714</v>
      </c>
      <c r="B527" t="s">
        <v>625</v>
      </c>
      <c r="C527">
        <v>114</v>
      </c>
      <c r="D527">
        <v>6</v>
      </c>
      <c r="E527">
        <v>684</v>
      </c>
      <c r="F527">
        <v>526</v>
      </c>
      <c r="G527">
        <v>69.599999999999994</v>
      </c>
      <c r="H527" t="s">
        <v>184</v>
      </c>
    </row>
    <row r="528" spans="1:8">
      <c r="A528">
        <v>3541</v>
      </c>
      <c r="B528" t="s">
        <v>626</v>
      </c>
      <c r="C528">
        <v>114</v>
      </c>
      <c r="D528">
        <v>6</v>
      </c>
      <c r="E528">
        <v>684</v>
      </c>
      <c r="F528">
        <v>527</v>
      </c>
      <c r="G528">
        <v>69.7</v>
      </c>
      <c r="H528" t="s">
        <v>184</v>
      </c>
    </row>
    <row r="529" spans="1:8">
      <c r="A529">
        <v>1590</v>
      </c>
      <c r="B529" t="s">
        <v>627</v>
      </c>
      <c r="C529">
        <v>340</v>
      </c>
      <c r="D529">
        <v>2</v>
      </c>
      <c r="E529">
        <v>680</v>
      </c>
      <c r="F529">
        <v>528</v>
      </c>
      <c r="G529">
        <v>69.8</v>
      </c>
      <c r="H529" t="s">
        <v>184</v>
      </c>
    </row>
    <row r="530" spans="1:8">
      <c r="A530">
        <v>1527</v>
      </c>
      <c r="B530" t="s">
        <v>159</v>
      </c>
      <c r="C530">
        <v>113</v>
      </c>
      <c r="D530">
        <v>6</v>
      </c>
      <c r="E530">
        <v>678</v>
      </c>
      <c r="F530">
        <v>529</v>
      </c>
      <c r="G530">
        <v>69.8</v>
      </c>
      <c r="H530" t="s">
        <v>184</v>
      </c>
    </row>
    <row r="531" spans="1:8">
      <c r="A531">
        <v>1567</v>
      </c>
      <c r="B531" t="s">
        <v>628</v>
      </c>
      <c r="C531">
        <v>113</v>
      </c>
      <c r="D531">
        <v>6</v>
      </c>
      <c r="E531">
        <v>678</v>
      </c>
      <c r="F531">
        <v>530</v>
      </c>
      <c r="G531">
        <v>69.900000000000006</v>
      </c>
      <c r="H531" t="s">
        <v>184</v>
      </c>
    </row>
    <row r="532" spans="1:8">
      <c r="A532">
        <v>3478</v>
      </c>
      <c r="B532" t="s">
        <v>629</v>
      </c>
      <c r="C532">
        <v>113</v>
      </c>
      <c r="D532">
        <v>6</v>
      </c>
      <c r="E532">
        <v>678</v>
      </c>
      <c r="F532">
        <v>531</v>
      </c>
      <c r="G532">
        <v>70</v>
      </c>
      <c r="H532" t="s">
        <v>184</v>
      </c>
    </row>
    <row r="533" spans="1:8">
      <c r="A533">
        <v>3688</v>
      </c>
      <c r="B533" t="s">
        <v>630</v>
      </c>
      <c r="C533">
        <v>113</v>
      </c>
      <c r="D533">
        <v>6</v>
      </c>
      <c r="E533">
        <v>678</v>
      </c>
      <c r="F533">
        <v>532</v>
      </c>
      <c r="G533">
        <v>70</v>
      </c>
      <c r="H533" t="s">
        <v>631</v>
      </c>
    </row>
    <row r="534" spans="1:8">
      <c r="A534">
        <v>212</v>
      </c>
      <c r="B534" t="s">
        <v>632</v>
      </c>
      <c r="C534">
        <v>169</v>
      </c>
      <c r="D534">
        <v>4</v>
      </c>
      <c r="E534">
        <v>676</v>
      </c>
      <c r="F534">
        <v>533</v>
      </c>
      <c r="G534">
        <v>70.099999999999994</v>
      </c>
      <c r="H534" t="s">
        <v>631</v>
      </c>
    </row>
    <row r="535" spans="1:8">
      <c r="A535">
        <v>3605</v>
      </c>
      <c r="B535" t="s">
        <v>633</v>
      </c>
      <c r="C535">
        <v>169</v>
      </c>
      <c r="D535">
        <v>4</v>
      </c>
      <c r="E535">
        <v>676</v>
      </c>
      <c r="F535">
        <v>534</v>
      </c>
      <c r="G535">
        <v>70.2</v>
      </c>
      <c r="H535" t="s">
        <v>631</v>
      </c>
    </row>
    <row r="536" spans="1:8">
      <c r="A536">
        <v>2771</v>
      </c>
      <c r="B536" t="s">
        <v>634</v>
      </c>
      <c r="C536">
        <v>225</v>
      </c>
      <c r="D536">
        <v>3</v>
      </c>
      <c r="E536">
        <v>675</v>
      </c>
      <c r="F536">
        <v>535</v>
      </c>
      <c r="G536">
        <v>70.2</v>
      </c>
      <c r="H536" t="s">
        <v>631</v>
      </c>
    </row>
    <row r="537" spans="1:8">
      <c r="A537">
        <v>2814</v>
      </c>
      <c r="B537" t="s">
        <v>635</v>
      </c>
      <c r="C537">
        <v>225</v>
      </c>
      <c r="D537">
        <v>3</v>
      </c>
      <c r="E537">
        <v>675</v>
      </c>
      <c r="F537">
        <v>536</v>
      </c>
      <c r="G537">
        <v>70.3</v>
      </c>
      <c r="H537" t="s">
        <v>631</v>
      </c>
    </row>
    <row r="538" spans="1:8">
      <c r="A538">
        <v>3612</v>
      </c>
      <c r="B538" t="s">
        <v>636</v>
      </c>
      <c r="C538">
        <v>225</v>
      </c>
      <c r="D538">
        <v>3</v>
      </c>
      <c r="E538">
        <v>675</v>
      </c>
      <c r="F538">
        <v>537</v>
      </c>
      <c r="G538">
        <v>70.3</v>
      </c>
      <c r="H538" t="s">
        <v>631</v>
      </c>
    </row>
    <row r="539" spans="1:8">
      <c r="A539">
        <v>1678</v>
      </c>
      <c r="B539" t="s">
        <v>637</v>
      </c>
      <c r="C539">
        <v>112</v>
      </c>
      <c r="D539">
        <v>6</v>
      </c>
      <c r="E539">
        <v>672</v>
      </c>
      <c r="F539">
        <v>538</v>
      </c>
      <c r="G539">
        <v>70.400000000000006</v>
      </c>
      <c r="H539" t="s">
        <v>631</v>
      </c>
    </row>
    <row r="540" spans="1:8">
      <c r="A540">
        <v>2964</v>
      </c>
      <c r="B540" t="s">
        <v>638</v>
      </c>
      <c r="C540">
        <v>112</v>
      </c>
      <c r="D540">
        <v>6</v>
      </c>
      <c r="E540">
        <v>672</v>
      </c>
      <c r="F540">
        <v>539</v>
      </c>
      <c r="G540">
        <v>70.5</v>
      </c>
      <c r="H540" t="s">
        <v>631</v>
      </c>
    </row>
    <row r="541" spans="1:8">
      <c r="A541">
        <v>2999</v>
      </c>
      <c r="B541" t="s">
        <v>639</v>
      </c>
      <c r="C541">
        <v>112</v>
      </c>
      <c r="D541">
        <v>6</v>
      </c>
      <c r="E541">
        <v>672</v>
      </c>
      <c r="F541">
        <v>540</v>
      </c>
      <c r="G541">
        <v>70.5</v>
      </c>
      <c r="H541" t="s">
        <v>631</v>
      </c>
    </row>
    <row r="542" spans="1:8">
      <c r="A542">
        <v>399</v>
      </c>
      <c r="B542" t="s">
        <v>640</v>
      </c>
      <c r="C542">
        <v>134</v>
      </c>
      <c r="D542">
        <v>5</v>
      </c>
      <c r="E542">
        <v>670</v>
      </c>
      <c r="F542">
        <v>541</v>
      </c>
      <c r="G542">
        <v>70.599999999999994</v>
      </c>
      <c r="H542" t="s">
        <v>631</v>
      </c>
    </row>
    <row r="543" spans="1:8">
      <c r="A543">
        <v>1386</v>
      </c>
      <c r="B543" t="s">
        <v>641</v>
      </c>
      <c r="C543">
        <v>111</v>
      </c>
      <c r="D543">
        <v>6</v>
      </c>
      <c r="E543">
        <v>666</v>
      </c>
      <c r="F543">
        <v>542</v>
      </c>
      <c r="G543">
        <v>70.7</v>
      </c>
      <c r="H543" t="s">
        <v>631</v>
      </c>
    </row>
    <row r="544" spans="1:8">
      <c r="A544">
        <v>1387</v>
      </c>
      <c r="B544" t="s">
        <v>642</v>
      </c>
      <c r="C544">
        <v>111</v>
      </c>
      <c r="D544">
        <v>6</v>
      </c>
      <c r="E544">
        <v>666</v>
      </c>
      <c r="F544">
        <v>543</v>
      </c>
      <c r="G544">
        <v>70.7</v>
      </c>
      <c r="H544" t="s">
        <v>631</v>
      </c>
    </row>
    <row r="545" spans="1:8">
      <c r="A545">
        <v>1503</v>
      </c>
      <c r="B545" t="s">
        <v>643</v>
      </c>
      <c r="C545">
        <v>111</v>
      </c>
      <c r="D545">
        <v>6</v>
      </c>
      <c r="E545">
        <v>666</v>
      </c>
      <c r="F545">
        <v>544</v>
      </c>
      <c r="G545">
        <v>70.8</v>
      </c>
      <c r="H545" t="s">
        <v>631</v>
      </c>
    </row>
    <row r="546" spans="1:8">
      <c r="A546">
        <v>1514</v>
      </c>
      <c r="B546" t="s">
        <v>644</v>
      </c>
      <c r="C546">
        <v>111</v>
      </c>
      <c r="D546">
        <v>6</v>
      </c>
      <c r="E546">
        <v>666</v>
      </c>
      <c r="F546">
        <v>545</v>
      </c>
      <c r="G546">
        <v>70.900000000000006</v>
      </c>
      <c r="H546" t="s">
        <v>631</v>
      </c>
    </row>
    <row r="547" spans="1:8">
      <c r="A547">
        <v>279</v>
      </c>
      <c r="B547" t="s">
        <v>645</v>
      </c>
      <c r="C547">
        <v>110</v>
      </c>
      <c r="D547">
        <v>6</v>
      </c>
      <c r="E547">
        <v>660</v>
      </c>
      <c r="F547">
        <v>546</v>
      </c>
      <c r="G547">
        <v>70.900000000000006</v>
      </c>
      <c r="H547" t="s">
        <v>631</v>
      </c>
    </row>
    <row r="548" spans="1:8">
      <c r="A548">
        <v>491</v>
      </c>
      <c r="B548" t="s">
        <v>646</v>
      </c>
      <c r="C548">
        <v>110</v>
      </c>
      <c r="D548">
        <v>6</v>
      </c>
      <c r="E548">
        <v>660</v>
      </c>
      <c r="F548">
        <v>547</v>
      </c>
      <c r="G548">
        <v>71</v>
      </c>
      <c r="H548" t="s">
        <v>631</v>
      </c>
    </row>
    <row r="549" spans="1:8">
      <c r="A549">
        <v>1209</v>
      </c>
      <c r="B549" t="s">
        <v>647</v>
      </c>
      <c r="C549">
        <v>110</v>
      </c>
      <c r="D549">
        <v>6</v>
      </c>
      <c r="E549">
        <v>660</v>
      </c>
      <c r="F549">
        <v>548</v>
      </c>
      <c r="G549">
        <v>71</v>
      </c>
      <c r="H549" t="s">
        <v>631</v>
      </c>
    </row>
    <row r="550" spans="1:8">
      <c r="A550">
        <v>1222</v>
      </c>
      <c r="B550" t="s">
        <v>648</v>
      </c>
      <c r="C550">
        <v>110</v>
      </c>
      <c r="D550">
        <v>6</v>
      </c>
      <c r="E550">
        <v>660</v>
      </c>
      <c r="F550">
        <v>549</v>
      </c>
      <c r="G550">
        <v>71.099999999999994</v>
      </c>
      <c r="H550" t="s">
        <v>631</v>
      </c>
    </row>
    <row r="551" spans="1:8">
      <c r="A551">
        <v>1698</v>
      </c>
      <c r="B551" t="s">
        <v>649</v>
      </c>
      <c r="C551">
        <v>110</v>
      </c>
      <c r="D551">
        <v>6</v>
      </c>
      <c r="E551">
        <v>660</v>
      </c>
      <c r="F551">
        <v>550</v>
      </c>
      <c r="G551">
        <v>71.2</v>
      </c>
      <c r="H551" t="s">
        <v>631</v>
      </c>
    </row>
    <row r="552" spans="1:8">
      <c r="A552">
        <v>2758</v>
      </c>
      <c r="B552" t="s">
        <v>650</v>
      </c>
      <c r="C552">
        <v>110</v>
      </c>
      <c r="D552">
        <v>6</v>
      </c>
      <c r="E552">
        <v>660</v>
      </c>
      <c r="F552">
        <v>551</v>
      </c>
      <c r="G552">
        <v>71.2</v>
      </c>
      <c r="H552" t="s">
        <v>631</v>
      </c>
    </row>
    <row r="553" spans="1:8">
      <c r="A553">
        <v>2917</v>
      </c>
      <c r="B553" t="s">
        <v>651</v>
      </c>
      <c r="C553">
        <v>110</v>
      </c>
      <c r="D553">
        <v>6</v>
      </c>
      <c r="E553">
        <v>660</v>
      </c>
      <c r="F553">
        <v>552</v>
      </c>
      <c r="G553">
        <v>71.3</v>
      </c>
      <c r="H553" t="s">
        <v>631</v>
      </c>
    </row>
    <row r="554" spans="1:8">
      <c r="A554">
        <v>2950</v>
      </c>
      <c r="B554" t="s">
        <v>652</v>
      </c>
      <c r="C554">
        <v>165</v>
      </c>
      <c r="D554">
        <v>4</v>
      </c>
      <c r="E554">
        <v>660</v>
      </c>
      <c r="F554">
        <v>553</v>
      </c>
      <c r="G554">
        <v>71.400000000000006</v>
      </c>
      <c r="H554" t="s">
        <v>631</v>
      </c>
    </row>
    <row r="555" spans="1:8">
      <c r="A555">
        <v>3565</v>
      </c>
      <c r="B555" t="s">
        <v>653</v>
      </c>
      <c r="C555">
        <v>132</v>
      </c>
      <c r="D555">
        <v>5</v>
      </c>
      <c r="E555">
        <v>660</v>
      </c>
      <c r="F555">
        <v>554</v>
      </c>
      <c r="G555">
        <v>71.400000000000006</v>
      </c>
      <c r="H555" t="s">
        <v>631</v>
      </c>
    </row>
    <row r="556" spans="1:8">
      <c r="A556">
        <v>3027</v>
      </c>
      <c r="B556" t="s">
        <v>654</v>
      </c>
      <c r="C556">
        <v>131</v>
      </c>
      <c r="D556">
        <v>5</v>
      </c>
      <c r="E556">
        <v>655</v>
      </c>
      <c r="F556">
        <v>555</v>
      </c>
      <c r="G556">
        <v>71.5</v>
      </c>
      <c r="H556" t="s">
        <v>631</v>
      </c>
    </row>
    <row r="557" spans="1:8">
      <c r="A557">
        <v>159</v>
      </c>
      <c r="B557" t="s">
        <v>655</v>
      </c>
      <c r="C557">
        <v>109</v>
      </c>
      <c r="D557">
        <v>6</v>
      </c>
      <c r="E557">
        <v>654</v>
      </c>
      <c r="F557">
        <v>556</v>
      </c>
      <c r="G557">
        <v>71.5</v>
      </c>
      <c r="H557" t="s">
        <v>631</v>
      </c>
    </row>
    <row r="558" spans="1:8">
      <c r="A558">
        <v>1675</v>
      </c>
      <c r="B558" t="s">
        <v>656</v>
      </c>
      <c r="C558">
        <v>109</v>
      </c>
      <c r="D558">
        <v>6</v>
      </c>
      <c r="E558">
        <v>654</v>
      </c>
      <c r="F558">
        <v>557</v>
      </c>
      <c r="G558">
        <v>71.599999999999994</v>
      </c>
      <c r="H558" t="s">
        <v>631</v>
      </c>
    </row>
    <row r="559" spans="1:8">
      <c r="A559">
        <v>1505</v>
      </c>
      <c r="B559" t="s">
        <v>657</v>
      </c>
      <c r="C559">
        <v>130</v>
      </c>
      <c r="D559">
        <v>5</v>
      </c>
      <c r="E559">
        <v>650</v>
      </c>
      <c r="F559">
        <v>558</v>
      </c>
      <c r="G559">
        <v>71.7</v>
      </c>
      <c r="H559" t="s">
        <v>631</v>
      </c>
    </row>
    <row r="560" spans="1:8">
      <c r="A560">
        <v>2880</v>
      </c>
      <c r="B560" t="s">
        <v>658</v>
      </c>
      <c r="C560">
        <v>130</v>
      </c>
      <c r="D560">
        <v>5</v>
      </c>
      <c r="E560">
        <v>650</v>
      </c>
      <c r="F560">
        <v>559</v>
      </c>
      <c r="G560">
        <v>71.7</v>
      </c>
      <c r="H560" t="s">
        <v>631</v>
      </c>
    </row>
    <row r="561" spans="1:8">
      <c r="A561">
        <v>291</v>
      </c>
      <c r="B561" t="s">
        <v>659</v>
      </c>
      <c r="C561">
        <v>108</v>
      </c>
      <c r="D561">
        <v>6</v>
      </c>
      <c r="E561">
        <v>648</v>
      </c>
      <c r="F561">
        <v>560</v>
      </c>
      <c r="G561">
        <v>71.8</v>
      </c>
      <c r="H561" t="s">
        <v>631</v>
      </c>
    </row>
    <row r="562" spans="1:8">
      <c r="A562">
        <v>463</v>
      </c>
      <c r="B562" t="s">
        <v>660</v>
      </c>
      <c r="C562">
        <v>108</v>
      </c>
      <c r="D562">
        <v>6</v>
      </c>
      <c r="E562">
        <v>648</v>
      </c>
      <c r="F562">
        <v>561</v>
      </c>
      <c r="G562">
        <v>71.8</v>
      </c>
      <c r="H562" t="s">
        <v>631</v>
      </c>
    </row>
    <row r="563" spans="1:8">
      <c r="A563">
        <v>1568</v>
      </c>
      <c r="B563" t="s">
        <v>661</v>
      </c>
      <c r="C563">
        <v>162</v>
      </c>
      <c r="D563">
        <v>4</v>
      </c>
      <c r="E563">
        <v>648</v>
      </c>
      <c r="F563">
        <v>562</v>
      </c>
      <c r="G563">
        <v>71.900000000000006</v>
      </c>
      <c r="H563" t="s">
        <v>631</v>
      </c>
    </row>
    <row r="564" spans="1:8">
      <c r="A564">
        <v>2681</v>
      </c>
      <c r="B564" t="s">
        <v>662</v>
      </c>
      <c r="C564">
        <v>108</v>
      </c>
      <c r="D564">
        <v>6</v>
      </c>
      <c r="E564">
        <v>648</v>
      </c>
      <c r="F564">
        <v>563</v>
      </c>
      <c r="G564">
        <v>72</v>
      </c>
      <c r="H564" t="s">
        <v>631</v>
      </c>
    </row>
    <row r="565" spans="1:8">
      <c r="A565">
        <v>2759</v>
      </c>
      <c r="B565" t="s">
        <v>663</v>
      </c>
      <c r="C565">
        <v>108</v>
      </c>
      <c r="D565">
        <v>6</v>
      </c>
      <c r="E565">
        <v>648</v>
      </c>
      <c r="F565">
        <v>564</v>
      </c>
      <c r="G565">
        <v>72</v>
      </c>
      <c r="H565" t="s">
        <v>631</v>
      </c>
    </row>
    <row r="566" spans="1:8">
      <c r="A566">
        <v>3499</v>
      </c>
      <c r="B566" t="s">
        <v>664</v>
      </c>
      <c r="C566">
        <v>162</v>
      </c>
      <c r="D566">
        <v>4</v>
      </c>
      <c r="E566">
        <v>648</v>
      </c>
      <c r="F566">
        <v>565</v>
      </c>
      <c r="G566">
        <v>72.099999999999994</v>
      </c>
      <c r="H566" t="s">
        <v>631</v>
      </c>
    </row>
    <row r="567" spans="1:8">
      <c r="A567">
        <v>1187</v>
      </c>
      <c r="B567" t="s">
        <v>665</v>
      </c>
      <c r="C567">
        <v>161</v>
      </c>
      <c r="D567">
        <v>4</v>
      </c>
      <c r="E567">
        <v>644</v>
      </c>
      <c r="F567">
        <v>566</v>
      </c>
      <c r="G567">
        <v>72.2</v>
      </c>
      <c r="H567" t="s">
        <v>631</v>
      </c>
    </row>
    <row r="568" spans="1:8">
      <c r="A568">
        <v>262</v>
      </c>
      <c r="B568" t="s">
        <v>666</v>
      </c>
      <c r="C568">
        <v>107</v>
      </c>
      <c r="D568">
        <v>6</v>
      </c>
      <c r="E568">
        <v>642</v>
      </c>
      <c r="F568">
        <v>567</v>
      </c>
      <c r="G568">
        <v>72.2</v>
      </c>
      <c r="H568" t="s">
        <v>631</v>
      </c>
    </row>
    <row r="569" spans="1:8">
      <c r="A569">
        <v>2907</v>
      </c>
      <c r="B569" t="s">
        <v>667</v>
      </c>
      <c r="C569">
        <v>214</v>
      </c>
      <c r="D569">
        <v>3</v>
      </c>
      <c r="E569">
        <v>642</v>
      </c>
      <c r="F569">
        <v>568</v>
      </c>
      <c r="G569">
        <v>72.3</v>
      </c>
      <c r="H569" t="s">
        <v>631</v>
      </c>
    </row>
    <row r="570" spans="1:8">
      <c r="A570">
        <v>3596</v>
      </c>
      <c r="B570" t="s">
        <v>668</v>
      </c>
      <c r="C570">
        <v>107</v>
      </c>
      <c r="D570">
        <v>6</v>
      </c>
      <c r="E570">
        <v>642</v>
      </c>
      <c r="F570">
        <v>569</v>
      </c>
      <c r="G570">
        <v>72.3</v>
      </c>
      <c r="H570" t="s">
        <v>631</v>
      </c>
    </row>
    <row r="571" spans="1:8">
      <c r="A571">
        <v>1544</v>
      </c>
      <c r="B571" t="s">
        <v>669</v>
      </c>
      <c r="C571">
        <v>160</v>
      </c>
      <c r="D571">
        <v>4</v>
      </c>
      <c r="E571">
        <v>640</v>
      </c>
      <c r="F571">
        <v>570</v>
      </c>
      <c r="G571">
        <v>72.400000000000006</v>
      </c>
      <c r="H571" t="s">
        <v>631</v>
      </c>
    </row>
    <row r="572" spans="1:8">
      <c r="A572">
        <v>1553</v>
      </c>
      <c r="B572" t="s">
        <v>670</v>
      </c>
      <c r="C572">
        <v>160</v>
      </c>
      <c r="D572">
        <v>4</v>
      </c>
      <c r="E572">
        <v>640</v>
      </c>
      <c r="F572">
        <v>571</v>
      </c>
      <c r="G572">
        <v>72.5</v>
      </c>
      <c r="H572" t="s">
        <v>631</v>
      </c>
    </row>
    <row r="573" spans="1:8">
      <c r="A573">
        <v>1558</v>
      </c>
      <c r="B573" t="s">
        <v>115</v>
      </c>
      <c r="C573">
        <v>128</v>
      </c>
      <c r="D573">
        <v>5</v>
      </c>
      <c r="E573">
        <v>640</v>
      </c>
      <c r="F573">
        <v>572</v>
      </c>
      <c r="G573">
        <v>72.5</v>
      </c>
      <c r="H573" t="s">
        <v>631</v>
      </c>
    </row>
    <row r="574" spans="1:8">
      <c r="A574">
        <v>2809</v>
      </c>
      <c r="B574" t="s">
        <v>671</v>
      </c>
      <c r="C574">
        <v>128</v>
      </c>
      <c r="D574">
        <v>5</v>
      </c>
      <c r="E574">
        <v>640</v>
      </c>
      <c r="F574">
        <v>573</v>
      </c>
      <c r="G574">
        <v>72.599999999999994</v>
      </c>
      <c r="H574" t="s">
        <v>631</v>
      </c>
    </row>
    <row r="575" spans="1:8">
      <c r="A575">
        <v>3590</v>
      </c>
      <c r="B575" t="s">
        <v>672</v>
      </c>
      <c r="C575">
        <v>320</v>
      </c>
      <c r="D575">
        <v>2</v>
      </c>
      <c r="E575">
        <v>640</v>
      </c>
      <c r="F575">
        <v>574</v>
      </c>
      <c r="G575">
        <v>72.599999999999994</v>
      </c>
      <c r="H575" t="s">
        <v>631</v>
      </c>
    </row>
    <row r="576" spans="1:8">
      <c r="A576">
        <v>3489</v>
      </c>
      <c r="B576" t="s">
        <v>673</v>
      </c>
      <c r="C576">
        <v>213</v>
      </c>
      <c r="D576">
        <v>3</v>
      </c>
      <c r="E576">
        <v>639</v>
      </c>
      <c r="F576">
        <v>575</v>
      </c>
      <c r="G576">
        <v>72.7</v>
      </c>
      <c r="H576" t="s">
        <v>631</v>
      </c>
    </row>
    <row r="577" spans="1:8">
      <c r="A577">
        <v>1146</v>
      </c>
      <c r="B577" t="s">
        <v>674</v>
      </c>
      <c r="C577">
        <v>106</v>
      </c>
      <c r="D577">
        <v>6</v>
      </c>
      <c r="E577">
        <v>636</v>
      </c>
      <c r="F577">
        <v>576</v>
      </c>
      <c r="G577">
        <v>72.8</v>
      </c>
      <c r="H577" t="s">
        <v>631</v>
      </c>
    </row>
    <row r="578" spans="1:8">
      <c r="A578">
        <v>2650</v>
      </c>
      <c r="B578" t="s">
        <v>133</v>
      </c>
      <c r="C578">
        <v>106</v>
      </c>
      <c r="D578">
        <v>6</v>
      </c>
      <c r="E578">
        <v>634</v>
      </c>
      <c r="F578">
        <v>577</v>
      </c>
      <c r="G578">
        <v>72.8</v>
      </c>
      <c r="H578" t="s">
        <v>631</v>
      </c>
    </row>
    <row r="579" spans="1:8">
      <c r="A579">
        <v>1703</v>
      </c>
      <c r="B579" t="s">
        <v>675</v>
      </c>
      <c r="C579">
        <v>158</v>
      </c>
      <c r="D579">
        <v>4</v>
      </c>
      <c r="E579">
        <v>632</v>
      </c>
      <c r="F579">
        <v>578</v>
      </c>
      <c r="G579">
        <v>72.900000000000006</v>
      </c>
      <c r="H579" t="s">
        <v>631</v>
      </c>
    </row>
    <row r="580" spans="1:8">
      <c r="A580">
        <v>202</v>
      </c>
      <c r="B580" t="s">
        <v>676</v>
      </c>
      <c r="C580">
        <v>105</v>
      </c>
      <c r="D580">
        <v>6</v>
      </c>
      <c r="E580">
        <v>630</v>
      </c>
      <c r="F580">
        <v>579</v>
      </c>
      <c r="G580">
        <v>72.900000000000006</v>
      </c>
      <c r="H580" t="s">
        <v>631</v>
      </c>
    </row>
    <row r="581" spans="1:8">
      <c r="A581">
        <v>1384</v>
      </c>
      <c r="B581" t="s">
        <v>677</v>
      </c>
      <c r="C581">
        <v>105</v>
      </c>
      <c r="D581">
        <v>6</v>
      </c>
      <c r="E581">
        <v>630</v>
      </c>
      <c r="F581">
        <v>580</v>
      </c>
      <c r="G581">
        <v>73</v>
      </c>
      <c r="H581" t="s">
        <v>631</v>
      </c>
    </row>
    <row r="582" spans="1:8">
      <c r="A582">
        <v>1459</v>
      </c>
      <c r="B582" t="s">
        <v>678</v>
      </c>
      <c r="C582">
        <v>105</v>
      </c>
      <c r="D582">
        <v>6</v>
      </c>
      <c r="E582">
        <v>630</v>
      </c>
      <c r="F582">
        <v>581</v>
      </c>
      <c r="G582">
        <v>73.099999999999994</v>
      </c>
      <c r="H582" t="s">
        <v>631</v>
      </c>
    </row>
    <row r="583" spans="1:8">
      <c r="A583">
        <v>1640</v>
      </c>
      <c r="B583" t="s">
        <v>173</v>
      </c>
      <c r="C583">
        <v>105</v>
      </c>
      <c r="D583">
        <v>6</v>
      </c>
      <c r="E583">
        <v>630</v>
      </c>
      <c r="F583">
        <v>582</v>
      </c>
      <c r="G583">
        <v>73.099999999999994</v>
      </c>
      <c r="H583" t="s">
        <v>631</v>
      </c>
    </row>
    <row r="584" spans="1:8">
      <c r="A584">
        <v>2757</v>
      </c>
      <c r="B584" t="s">
        <v>679</v>
      </c>
      <c r="C584">
        <v>105</v>
      </c>
      <c r="D584">
        <v>6</v>
      </c>
      <c r="E584">
        <v>630</v>
      </c>
      <c r="F584">
        <v>583</v>
      </c>
      <c r="G584">
        <v>73.2</v>
      </c>
      <c r="H584" t="s">
        <v>631</v>
      </c>
    </row>
    <row r="585" spans="1:8">
      <c r="A585">
        <v>2954</v>
      </c>
      <c r="B585" t="s">
        <v>119</v>
      </c>
      <c r="C585">
        <v>105</v>
      </c>
      <c r="D585">
        <v>6</v>
      </c>
      <c r="E585">
        <v>630</v>
      </c>
      <c r="F585">
        <v>584</v>
      </c>
      <c r="G585">
        <v>73.2</v>
      </c>
      <c r="H585" t="s">
        <v>631</v>
      </c>
    </row>
    <row r="586" spans="1:8">
      <c r="A586">
        <v>3031</v>
      </c>
      <c r="B586" t="s">
        <v>680</v>
      </c>
      <c r="C586">
        <v>210</v>
      </c>
      <c r="D586">
        <v>3</v>
      </c>
      <c r="E586">
        <v>630</v>
      </c>
      <c r="F586">
        <v>585</v>
      </c>
      <c r="G586">
        <v>73.3</v>
      </c>
      <c r="H586" t="s">
        <v>631</v>
      </c>
    </row>
    <row r="587" spans="1:8">
      <c r="A587">
        <v>2769</v>
      </c>
      <c r="B587" t="s">
        <v>681</v>
      </c>
      <c r="C587">
        <v>157</v>
      </c>
      <c r="D587">
        <v>4</v>
      </c>
      <c r="E587">
        <v>628</v>
      </c>
      <c r="F587">
        <v>586</v>
      </c>
      <c r="G587">
        <v>73.400000000000006</v>
      </c>
      <c r="H587" t="s">
        <v>631</v>
      </c>
    </row>
    <row r="588" spans="1:8">
      <c r="A588">
        <v>2846</v>
      </c>
      <c r="B588" t="s">
        <v>682</v>
      </c>
      <c r="C588">
        <v>157</v>
      </c>
      <c r="D588">
        <v>4</v>
      </c>
      <c r="E588">
        <v>628</v>
      </c>
      <c r="F588">
        <v>587</v>
      </c>
      <c r="G588">
        <v>73.400000000000006</v>
      </c>
      <c r="H588" t="s">
        <v>631</v>
      </c>
    </row>
    <row r="589" spans="1:8">
      <c r="A589">
        <v>3057</v>
      </c>
      <c r="B589" t="s">
        <v>683</v>
      </c>
      <c r="C589">
        <v>209</v>
      </c>
      <c r="D589">
        <v>3</v>
      </c>
      <c r="E589">
        <v>627</v>
      </c>
      <c r="F589">
        <v>588</v>
      </c>
      <c r="G589">
        <v>73.5</v>
      </c>
      <c r="H589" t="s">
        <v>631</v>
      </c>
    </row>
    <row r="590" spans="1:8">
      <c r="A590">
        <v>440</v>
      </c>
      <c r="B590" t="s">
        <v>684</v>
      </c>
      <c r="C590">
        <v>104</v>
      </c>
      <c r="D590">
        <v>6</v>
      </c>
      <c r="E590">
        <v>624</v>
      </c>
      <c r="F590">
        <v>589</v>
      </c>
      <c r="G590">
        <v>73.5</v>
      </c>
      <c r="H590" t="s">
        <v>631</v>
      </c>
    </row>
    <row r="591" spans="1:8">
      <c r="A591">
        <v>1170</v>
      </c>
      <c r="B591" t="s">
        <v>685</v>
      </c>
      <c r="C591">
        <v>104</v>
      </c>
      <c r="D591">
        <v>6</v>
      </c>
      <c r="E591">
        <v>624</v>
      </c>
      <c r="F591">
        <v>590</v>
      </c>
      <c r="G591">
        <v>73.599999999999994</v>
      </c>
      <c r="H591" t="s">
        <v>631</v>
      </c>
    </row>
    <row r="592" spans="1:8">
      <c r="A592">
        <v>1485</v>
      </c>
      <c r="B592" t="s">
        <v>686</v>
      </c>
      <c r="C592">
        <v>155</v>
      </c>
      <c r="D592">
        <v>4</v>
      </c>
      <c r="E592">
        <v>620</v>
      </c>
      <c r="F592">
        <v>591</v>
      </c>
      <c r="G592">
        <v>73.599999999999994</v>
      </c>
      <c r="H592" t="s">
        <v>631</v>
      </c>
    </row>
    <row r="593" spans="1:8">
      <c r="A593">
        <v>1616</v>
      </c>
      <c r="B593" t="s">
        <v>687</v>
      </c>
      <c r="C593">
        <v>620</v>
      </c>
      <c r="D593">
        <v>1</v>
      </c>
      <c r="E593">
        <v>620</v>
      </c>
      <c r="F593">
        <v>592</v>
      </c>
      <c r="G593">
        <v>73.7</v>
      </c>
      <c r="H593" t="s">
        <v>631</v>
      </c>
    </row>
    <row r="594" spans="1:8">
      <c r="A594">
        <v>2851</v>
      </c>
      <c r="B594" t="s">
        <v>688</v>
      </c>
      <c r="C594">
        <v>620</v>
      </c>
      <c r="D594">
        <v>1</v>
      </c>
      <c r="E594">
        <v>620</v>
      </c>
      <c r="F594">
        <v>593</v>
      </c>
      <c r="G594">
        <v>73.8</v>
      </c>
      <c r="H594" t="s">
        <v>631</v>
      </c>
    </row>
    <row r="595" spans="1:8">
      <c r="A595">
        <v>2971</v>
      </c>
      <c r="B595" t="s">
        <v>689</v>
      </c>
      <c r="C595">
        <v>620</v>
      </c>
      <c r="D595">
        <v>1</v>
      </c>
      <c r="E595">
        <v>620</v>
      </c>
      <c r="F595">
        <v>594</v>
      </c>
      <c r="G595">
        <v>73.8</v>
      </c>
      <c r="H595" t="s">
        <v>631</v>
      </c>
    </row>
    <row r="596" spans="1:8">
      <c r="A596">
        <v>498</v>
      </c>
      <c r="B596" t="s">
        <v>690</v>
      </c>
      <c r="C596">
        <v>103</v>
      </c>
      <c r="D596">
        <v>6</v>
      </c>
      <c r="E596">
        <v>618</v>
      </c>
      <c r="F596">
        <v>595</v>
      </c>
      <c r="G596">
        <v>73.900000000000006</v>
      </c>
      <c r="H596" t="s">
        <v>631</v>
      </c>
    </row>
    <row r="597" spans="1:8">
      <c r="A597">
        <v>2756</v>
      </c>
      <c r="B597" t="s">
        <v>691</v>
      </c>
      <c r="C597">
        <v>103</v>
      </c>
      <c r="D597">
        <v>6</v>
      </c>
      <c r="E597">
        <v>618</v>
      </c>
      <c r="F597">
        <v>596</v>
      </c>
      <c r="G597">
        <v>73.900000000000006</v>
      </c>
      <c r="H597" t="s">
        <v>631</v>
      </c>
    </row>
    <row r="598" spans="1:8">
      <c r="A598">
        <v>296</v>
      </c>
      <c r="B598" t="s">
        <v>692</v>
      </c>
      <c r="C598">
        <v>204</v>
      </c>
      <c r="D598">
        <v>3</v>
      </c>
      <c r="E598">
        <v>612</v>
      </c>
      <c r="F598">
        <v>597</v>
      </c>
      <c r="G598">
        <v>74</v>
      </c>
      <c r="H598" t="s">
        <v>631</v>
      </c>
    </row>
    <row r="599" spans="1:8">
      <c r="A599">
        <v>2657</v>
      </c>
      <c r="B599" t="s">
        <v>693</v>
      </c>
      <c r="C599">
        <v>102</v>
      </c>
      <c r="D599">
        <v>6</v>
      </c>
      <c r="E599">
        <v>612</v>
      </c>
      <c r="F599">
        <v>598</v>
      </c>
      <c r="G599">
        <v>74.099999999999994</v>
      </c>
      <c r="H599" t="s">
        <v>631</v>
      </c>
    </row>
    <row r="600" spans="1:8">
      <c r="A600">
        <v>3577</v>
      </c>
      <c r="B600" t="s">
        <v>694</v>
      </c>
      <c r="C600">
        <v>122</v>
      </c>
      <c r="D600">
        <v>5</v>
      </c>
      <c r="E600">
        <v>610</v>
      </c>
      <c r="F600">
        <v>599</v>
      </c>
      <c r="G600">
        <v>74.099999999999994</v>
      </c>
      <c r="H600" t="s">
        <v>631</v>
      </c>
    </row>
    <row r="601" spans="1:8">
      <c r="A601">
        <v>1132</v>
      </c>
      <c r="B601" t="s">
        <v>695</v>
      </c>
      <c r="C601">
        <v>101</v>
      </c>
      <c r="D601">
        <v>6</v>
      </c>
      <c r="E601">
        <v>606</v>
      </c>
      <c r="F601">
        <v>600</v>
      </c>
      <c r="G601">
        <v>74.2</v>
      </c>
      <c r="H601" t="s">
        <v>631</v>
      </c>
    </row>
    <row r="602" spans="1:8">
      <c r="A602">
        <v>282</v>
      </c>
      <c r="B602" t="s">
        <v>696</v>
      </c>
      <c r="C602">
        <v>100</v>
      </c>
      <c r="D602">
        <v>6</v>
      </c>
      <c r="E602">
        <v>600</v>
      </c>
      <c r="F602">
        <v>601</v>
      </c>
      <c r="G602">
        <v>74.2</v>
      </c>
      <c r="H602" t="s">
        <v>631</v>
      </c>
    </row>
    <row r="603" spans="1:8">
      <c r="A603">
        <v>366</v>
      </c>
      <c r="B603" t="s">
        <v>697</v>
      </c>
      <c r="C603">
        <v>150</v>
      </c>
      <c r="D603">
        <v>4</v>
      </c>
      <c r="E603">
        <v>600</v>
      </c>
      <c r="F603">
        <v>602</v>
      </c>
      <c r="G603">
        <v>74.3</v>
      </c>
      <c r="H603" t="s">
        <v>631</v>
      </c>
    </row>
    <row r="604" spans="1:8">
      <c r="A604">
        <v>470</v>
      </c>
      <c r="B604" t="s">
        <v>698</v>
      </c>
      <c r="C604">
        <v>150</v>
      </c>
      <c r="D604">
        <v>4</v>
      </c>
      <c r="E604">
        <v>600</v>
      </c>
      <c r="F604">
        <v>603</v>
      </c>
      <c r="G604">
        <v>74.3</v>
      </c>
      <c r="H604" t="s">
        <v>631</v>
      </c>
    </row>
    <row r="605" spans="1:8">
      <c r="A605">
        <v>1199</v>
      </c>
      <c r="B605" t="s">
        <v>699</v>
      </c>
      <c r="C605">
        <v>150</v>
      </c>
      <c r="D605">
        <v>4</v>
      </c>
      <c r="E605">
        <v>600</v>
      </c>
      <c r="F605">
        <v>604</v>
      </c>
      <c r="G605">
        <v>74.400000000000006</v>
      </c>
      <c r="H605" t="s">
        <v>631</v>
      </c>
    </row>
    <row r="606" spans="1:8">
      <c r="A606">
        <v>2662</v>
      </c>
      <c r="B606" t="s">
        <v>700</v>
      </c>
      <c r="C606">
        <v>100</v>
      </c>
      <c r="D606">
        <v>6</v>
      </c>
      <c r="E606">
        <v>600</v>
      </c>
      <c r="F606">
        <v>605</v>
      </c>
      <c r="G606">
        <v>74.5</v>
      </c>
      <c r="H606" t="s">
        <v>631</v>
      </c>
    </row>
    <row r="607" spans="1:8">
      <c r="A607">
        <v>2827</v>
      </c>
      <c r="B607" t="s">
        <v>129</v>
      </c>
      <c r="C607">
        <v>150</v>
      </c>
      <c r="D607">
        <v>4</v>
      </c>
      <c r="E607">
        <v>600</v>
      </c>
      <c r="F607">
        <v>606</v>
      </c>
      <c r="G607">
        <v>74.5</v>
      </c>
      <c r="H607" t="s">
        <v>631</v>
      </c>
    </row>
    <row r="608" spans="1:8">
      <c r="A608">
        <v>2835</v>
      </c>
      <c r="B608" t="s">
        <v>701</v>
      </c>
      <c r="C608">
        <v>120</v>
      </c>
      <c r="D608">
        <v>5</v>
      </c>
      <c r="E608">
        <v>600</v>
      </c>
      <c r="F608">
        <v>607</v>
      </c>
      <c r="G608">
        <v>74.599999999999994</v>
      </c>
      <c r="H608" t="s">
        <v>631</v>
      </c>
    </row>
    <row r="609" spans="1:8">
      <c r="A609">
        <v>2865</v>
      </c>
      <c r="B609" t="s">
        <v>702</v>
      </c>
      <c r="C609">
        <v>200</v>
      </c>
      <c r="D609">
        <v>3</v>
      </c>
      <c r="E609">
        <v>600</v>
      </c>
      <c r="F609">
        <v>608</v>
      </c>
      <c r="G609">
        <v>74.599999999999994</v>
      </c>
      <c r="H609" t="s">
        <v>631</v>
      </c>
    </row>
    <row r="610" spans="1:8">
      <c r="A610">
        <v>2915</v>
      </c>
      <c r="B610" t="s">
        <v>703</v>
      </c>
      <c r="C610">
        <v>120</v>
      </c>
      <c r="D610">
        <v>5</v>
      </c>
      <c r="E610">
        <v>600</v>
      </c>
      <c r="F610">
        <v>609</v>
      </c>
      <c r="G610">
        <v>74.7</v>
      </c>
      <c r="H610" t="s">
        <v>631</v>
      </c>
    </row>
    <row r="611" spans="1:8">
      <c r="A611">
        <v>2938</v>
      </c>
      <c r="B611" t="s">
        <v>93</v>
      </c>
      <c r="C611">
        <v>120</v>
      </c>
      <c r="D611">
        <v>5</v>
      </c>
      <c r="E611">
        <v>600</v>
      </c>
      <c r="F611">
        <v>610</v>
      </c>
      <c r="G611">
        <v>74.7</v>
      </c>
      <c r="H611" t="s">
        <v>631</v>
      </c>
    </row>
    <row r="612" spans="1:8">
      <c r="A612">
        <v>2873</v>
      </c>
      <c r="B612" t="s">
        <v>704</v>
      </c>
      <c r="C612">
        <v>199</v>
      </c>
      <c r="D612">
        <v>3</v>
      </c>
      <c r="E612">
        <v>597</v>
      </c>
      <c r="F612">
        <v>611</v>
      </c>
      <c r="G612">
        <v>74.8</v>
      </c>
      <c r="H612" t="s">
        <v>631</v>
      </c>
    </row>
    <row r="613" spans="1:8">
      <c r="A613">
        <v>110</v>
      </c>
      <c r="B613" t="s">
        <v>114</v>
      </c>
      <c r="C613">
        <v>149</v>
      </c>
      <c r="D613">
        <v>4</v>
      </c>
      <c r="E613">
        <v>596</v>
      </c>
      <c r="F613">
        <v>612</v>
      </c>
      <c r="G613">
        <v>74.8</v>
      </c>
      <c r="H613" t="s">
        <v>631</v>
      </c>
    </row>
    <row r="614" spans="1:8">
      <c r="A614">
        <v>1424</v>
      </c>
      <c r="B614" t="s">
        <v>705</v>
      </c>
      <c r="C614">
        <v>149</v>
      </c>
      <c r="D614">
        <v>4</v>
      </c>
      <c r="E614">
        <v>596</v>
      </c>
      <c r="F614">
        <v>613</v>
      </c>
      <c r="G614">
        <v>74.900000000000006</v>
      </c>
      <c r="H614" t="s">
        <v>631</v>
      </c>
    </row>
    <row r="615" spans="1:8">
      <c r="A615">
        <v>3506</v>
      </c>
      <c r="B615" t="s">
        <v>706</v>
      </c>
      <c r="C615">
        <v>149</v>
      </c>
      <c r="D615">
        <v>4</v>
      </c>
      <c r="E615">
        <v>596</v>
      </c>
      <c r="F615">
        <v>614</v>
      </c>
      <c r="G615">
        <v>75</v>
      </c>
      <c r="H615" t="s">
        <v>631</v>
      </c>
    </row>
    <row r="616" spans="1:8">
      <c r="A616">
        <v>3525</v>
      </c>
      <c r="B616" t="s">
        <v>707</v>
      </c>
      <c r="C616">
        <v>149</v>
      </c>
      <c r="D616">
        <v>4</v>
      </c>
      <c r="E616">
        <v>596</v>
      </c>
      <c r="F616">
        <v>615</v>
      </c>
      <c r="G616">
        <v>75</v>
      </c>
      <c r="H616" t="s">
        <v>631</v>
      </c>
    </row>
    <row r="617" spans="1:8">
      <c r="A617">
        <v>1641</v>
      </c>
      <c r="B617" t="s">
        <v>708</v>
      </c>
      <c r="C617">
        <v>595</v>
      </c>
      <c r="D617">
        <v>1</v>
      </c>
      <c r="E617">
        <v>595</v>
      </c>
      <c r="F617">
        <v>616</v>
      </c>
      <c r="G617">
        <v>75.099999999999994</v>
      </c>
      <c r="H617" t="s">
        <v>631</v>
      </c>
    </row>
    <row r="618" spans="1:8">
      <c r="A618">
        <v>320</v>
      </c>
      <c r="B618" t="s">
        <v>709</v>
      </c>
      <c r="C618">
        <v>99</v>
      </c>
      <c r="D618">
        <v>6</v>
      </c>
      <c r="E618">
        <v>594</v>
      </c>
      <c r="F618">
        <v>617</v>
      </c>
      <c r="G618">
        <v>75.099999999999994</v>
      </c>
      <c r="H618" t="s">
        <v>631</v>
      </c>
    </row>
    <row r="619" spans="1:8">
      <c r="A619">
        <v>393</v>
      </c>
      <c r="B619" t="s">
        <v>710</v>
      </c>
      <c r="C619">
        <v>99</v>
      </c>
      <c r="D619">
        <v>6</v>
      </c>
      <c r="E619">
        <v>594</v>
      </c>
      <c r="F619">
        <v>618</v>
      </c>
      <c r="G619">
        <v>75.2</v>
      </c>
      <c r="H619" t="s">
        <v>631</v>
      </c>
    </row>
    <row r="620" spans="1:8">
      <c r="A620">
        <v>464</v>
      </c>
      <c r="B620" t="s">
        <v>711</v>
      </c>
      <c r="C620">
        <v>99</v>
      </c>
      <c r="D620">
        <v>6</v>
      </c>
      <c r="E620">
        <v>594</v>
      </c>
      <c r="F620">
        <v>619</v>
      </c>
      <c r="G620">
        <v>75.2</v>
      </c>
      <c r="H620" t="s">
        <v>631</v>
      </c>
    </row>
    <row r="621" spans="1:8">
      <c r="A621">
        <v>487</v>
      </c>
      <c r="B621" t="s">
        <v>712</v>
      </c>
      <c r="C621">
        <v>99</v>
      </c>
      <c r="D621">
        <v>6</v>
      </c>
      <c r="E621">
        <v>594</v>
      </c>
      <c r="F621">
        <v>620</v>
      </c>
      <c r="G621">
        <v>75.3</v>
      </c>
      <c r="H621" t="s">
        <v>631</v>
      </c>
    </row>
    <row r="622" spans="1:8">
      <c r="A622">
        <v>494</v>
      </c>
      <c r="B622" t="s">
        <v>713</v>
      </c>
      <c r="C622">
        <v>99</v>
      </c>
      <c r="D622">
        <v>6</v>
      </c>
      <c r="E622">
        <v>594</v>
      </c>
      <c r="F622">
        <v>621</v>
      </c>
      <c r="G622">
        <v>75.400000000000006</v>
      </c>
      <c r="H622" t="s">
        <v>631</v>
      </c>
    </row>
    <row r="623" spans="1:8">
      <c r="A623">
        <v>524</v>
      </c>
      <c r="B623" t="s">
        <v>714</v>
      </c>
      <c r="C623">
        <v>99</v>
      </c>
      <c r="D623">
        <v>6</v>
      </c>
      <c r="E623">
        <v>594</v>
      </c>
      <c r="F623">
        <v>622</v>
      </c>
      <c r="G623">
        <v>75.400000000000006</v>
      </c>
      <c r="H623" t="s">
        <v>631</v>
      </c>
    </row>
    <row r="624" spans="1:8">
      <c r="A624">
        <v>526</v>
      </c>
      <c r="B624" t="s">
        <v>715</v>
      </c>
      <c r="C624">
        <v>99</v>
      </c>
      <c r="D624">
        <v>6</v>
      </c>
      <c r="E624">
        <v>594</v>
      </c>
      <c r="F624">
        <v>623</v>
      </c>
      <c r="G624">
        <v>75.5</v>
      </c>
      <c r="H624" t="s">
        <v>631</v>
      </c>
    </row>
    <row r="625" spans="1:8">
      <c r="A625">
        <v>533</v>
      </c>
      <c r="B625" t="s">
        <v>716</v>
      </c>
      <c r="C625">
        <v>99</v>
      </c>
      <c r="D625">
        <v>6</v>
      </c>
      <c r="E625">
        <v>594</v>
      </c>
      <c r="F625">
        <v>624</v>
      </c>
      <c r="G625">
        <v>75.5</v>
      </c>
      <c r="H625" t="s">
        <v>631</v>
      </c>
    </row>
    <row r="626" spans="1:8">
      <c r="A626">
        <v>1140</v>
      </c>
      <c r="B626" t="s">
        <v>717</v>
      </c>
      <c r="C626">
        <v>99</v>
      </c>
      <c r="D626">
        <v>6</v>
      </c>
      <c r="E626">
        <v>594</v>
      </c>
      <c r="F626">
        <v>625</v>
      </c>
      <c r="G626">
        <v>75.599999999999994</v>
      </c>
      <c r="H626" t="s">
        <v>631</v>
      </c>
    </row>
    <row r="627" spans="1:8">
      <c r="A627">
        <v>1668</v>
      </c>
      <c r="B627" t="s">
        <v>718</v>
      </c>
      <c r="C627">
        <v>594</v>
      </c>
      <c r="D627">
        <v>1</v>
      </c>
      <c r="E627">
        <v>594</v>
      </c>
      <c r="F627">
        <v>626</v>
      </c>
      <c r="G627">
        <v>75.599999999999994</v>
      </c>
      <c r="H627" t="s">
        <v>631</v>
      </c>
    </row>
    <row r="628" spans="1:8">
      <c r="A628">
        <v>2792</v>
      </c>
      <c r="B628" t="s">
        <v>719</v>
      </c>
      <c r="C628">
        <v>99</v>
      </c>
      <c r="D628">
        <v>6</v>
      </c>
      <c r="E628">
        <v>594</v>
      </c>
      <c r="F628">
        <v>627</v>
      </c>
      <c r="G628">
        <v>75.7</v>
      </c>
      <c r="H628" t="s">
        <v>631</v>
      </c>
    </row>
    <row r="629" spans="1:8">
      <c r="A629">
        <v>2823</v>
      </c>
      <c r="B629" t="s">
        <v>720</v>
      </c>
      <c r="C629">
        <v>99</v>
      </c>
      <c r="D629">
        <v>6</v>
      </c>
      <c r="E629">
        <v>594</v>
      </c>
      <c r="F629">
        <v>628</v>
      </c>
      <c r="G629">
        <v>75.7</v>
      </c>
      <c r="H629" t="s">
        <v>631</v>
      </c>
    </row>
    <row r="630" spans="1:8">
      <c r="A630">
        <v>2836</v>
      </c>
      <c r="B630" t="s">
        <v>721</v>
      </c>
      <c r="C630">
        <v>99</v>
      </c>
      <c r="D630">
        <v>6</v>
      </c>
      <c r="E630">
        <v>594</v>
      </c>
      <c r="F630">
        <v>629</v>
      </c>
      <c r="G630">
        <v>75.8</v>
      </c>
      <c r="H630" t="s">
        <v>631</v>
      </c>
    </row>
    <row r="631" spans="1:8">
      <c r="A631">
        <v>2923</v>
      </c>
      <c r="B631" t="s">
        <v>722</v>
      </c>
      <c r="C631">
        <v>99</v>
      </c>
      <c r="D631">
        <v>6</v>
      </c>
      <c r="E631">
        <v>594</v>
      </c>
      <c r="F631">
        <v>630</v>
      </c>
      <c r="G631">
        <v>75.900000000000006</v>
      </c>
      <c r="H631" t="s">
        <v>631</v>
      </c>
    </row>
    <row r="632" spans="1:8">
      <c r="A632">
        <v>3676</v>
      </c>
      <c r="B632" t="s">
        <v>156</v>
      </c>
      <c r="C632">
        <v>99</v>
      </c>
      <c r="D632">
        <v>6</v>
      </c>
      <c r="E632">
        <v>594</v>
      </c>
      <c r="F632">
        <v>631</v>
      </c>
      <c r="G632">
        <v>75.900000000000006</v>
      </c>
      <c r="H632" t="s">
        <v>631</v>
      </c>
    </row>
    <row r="633" spans="1:8">
      <c r="A633">
        <v>460</v>
      </c>
      <c r="B633" t="s">
        <v>723</v>
      </c>
      <c r="C633">
        <v>98</v>
      </c>
      <c r="D633">
        <v>6</v>
      </c>
      <c r="E633">
        <v>588</v>
      </c>
      <c r="F633">
        <v>632</v>
      </c>
      <c r="G633">
        <v>76</v>
      </c>
      <c r="H633" t="s">
        <v>631</v>
      </c>
    </row>
    <row r="634" spans="1:8">
      <c r="A634">
        <v>3558</v>
      </c>
      <c r="B634" t="s">
        <v>724</v>
      </c>
      <c r="C634">
        <v>98</v>
      </c>
      <c r="D634">
        <v>6</v>
      </c>
      <c r="E634">
        <v>588</v>
      </c>
      <c r="F634">
        <v>633</v>
      </c>
      <c r="G634">
        <v>76</v>
      </c>
      <c r="H634" t="s">
        <v>631</v>
      </c>
    </row>
    <row r="635" spans="1:8">
      <c r="A635">
        <v>3581</v>
      </c>
      <c r="B635" t="s">
        <v>725</v>
      </c>
      <c r="C635">
        <v>98</v>
      </c>
      <c r="D635">
        <v>6</v>
      </c>
      <c r="E635">
        <v>588</v>
      </c>
      <c r="F635">
        <v>634</v>
      </c>
      <c r="G635">
        <v>76.099999999999994</v>
      </c>
      <c r="H635" t="s">
        <v>631</v>
      </c>
    </row>
    <row r="636" spans="1:8">
      <c r="A636">
        <v>419</v>
      </c>
      <c r="B636" t="s">
        <v>726</v>
      </c>
      <c r="C636">
        <v>117</v>
      </c>
      <c r="D636">
        <v>5</v>
      </c>
      <c r="E636">
        <v>585</v>
      </c>
      <c r="F636">
        <v>635</v>
      </c>
      <c r="G636">
        <v>76.099999999999994</v>
      </c>
      <c r="H636" t="s">
        <v>631</v>
      </c>
    </row>
    <row r="637" spans="1:8">
      <c r="A637">
        <v>459</v>
      </c>
      <c r="B637" t="s">
        <v>727</v>
      </c>
      <c r="C637">
        <v>97</v>
      </c>
      <c r="D637">
        <v>6</v>
      </c>
      <c r="E637">
        <v>582</v>
      </c>
      <c r="F637">
        <v>636</v>
      </c>
      <c r="G637">
        <v>76.2</v>
      </c>
      <c r="H637" t="s">
        <v>631</v>
      </c>
    </row>
    <row r="638" spans="1:8">
      <c r="A638">
        <v>3484</v>
      </c>
      <c r="B638" t="s">
        <v>121</v>
      </c>
      <c r="C638">
        <v>97</v>
      </c>
      <c r="D638">
        <v>6</v>
      </c>
      <c r="E638">
        <v>582</v>
      </c>
      <c r="F638">
        <v>637</v>
      </c>
      <c r="G638">
        <v>76.2</v>
      </c>
      <c r="H638" t="s">
        <v>631</v>
      </c>
    </row>
    <row r="639" spans="1:8">
      <c r="A639">
        <v>3526</v>
      </c>
      <c r="B639" t="s">
        <v>728</v>
      </c>
      <c r="C639">
        <v>97</v>
      </c>
      <c r="D639">
        <v>6</v>
      </c>
      <c r="E639">
        <v>582</v>
      </c>
      <c r="F639">
        <v>638</v>
      </c>
      <c r="G639">
        <v>76.3</v>
      </c>
      <c r="H639" t="s">
        <v>631</v>
      </c>
    </row>
    <row r="640" spans="1:8">
      <c r="A640">
        <v>2784</v>
      </c>
      <c r="B640" t="s">
        <v>143</v>
      </c>
      <c r="C640">
        <v>144</v>
      </c>
      <c r="D640">
        <v>4</v>
      </c>
      <c r="E640">
        <v>576</v>
      </c>
      <c r="F640">
        <v>639</v>
      </c>
      <c r="G640">
        <v>76.400000000000006</v>
      </c>
      <c r="H640" t="s">
        <v>631</v>
      </c>
    </row>
    <row r="641" spans="1:8">
      <c r="A641">
        <v>3022</v>
      </c>
      <c r="B641" t="s">
        <v>729</v>
      </c>
      <c r="C641">
        <v>115</v>
      </c>
      <c r="D641">
        <v>5</v>
      </c>
      <c r="E641">
        <v>575</v>
      </c>
      <c r="F641">
        <v>640</v>
      </c>
      <c r="G641">
        <v>76.400000000000006</v>
      </c>
      <c r="H641" t="s">
        <v>631</v>
      </c>
    </row>
    <row r="642" spans="1:8">
      <c r="A642">
        <v>112</v>
      </c>
      <c r="B642" t="s">
        <v>160</v>
      </c>
      <c r="C642">
        <v>191</v>
      </c>
      <c r="D642">
        <v>3</v>
      </c>
      <c r="E642">
        <v>573</v>
      </c>
      <c r="F642">
        <v>641</v>
      </c>
      <c r="G642">
        <v>76.5</v>
      </c>
      <c r="H642" t="s">
        <v>631</v>
      </c>
    </row>
    <row r="643" spans="1:8">
      <c r="A643">
        <v>339</v>
      </c>
      <c r="B643" t="s">
        <v>730</v>
      </c>
      <c r="C643">
        <v>143</v>
      </c>
      <c r="D643">
        <v>4</v>
      </c>
      <c r="E643">
        <v>572</v>
      </c>
      <c r="F643">
        <v>642</v>
      </c>
      <c r="G643">
        <v>76.5</v>
      </c>
      <c r="H643" t="s">
        <v>631</v>
      </c>
    </row>
    <row r="644" spans="1:8">
      <c r="A644">
        <v>3462</v>
      </c>
      <c r="B644" t="s">
        <v>731</v>
      </c>
      <c r="C644">
        <v>143</v>
      </c>
      <c r="D644">
        <v>4</v>
      </c>
      <c r="E644">
        <v>572</v>
      </c>
      <c r="F644">
        <v>643</v>
      </c>
      <c r="G644">
        <v>76.599999999999994</v>
      </c>
      <c r="H644" t="s">
        <v>631</v>
      </c>
    </row>
    <row r="645" spans="1:8">
      <c r="A645">
        <v>286</v>
      </c>
      <c r="B645" t="s">
        <v>732</v>
      </c>
      <c r="C645">
        <v>95</v>
      </c>
      <c r="D645">
        <v>6</v>
      </c>
      <c r="E645">
        <v>570</v>
      </c>
      <c r="F645">
        <v>644</v>
      </c>
      <c r="G645">
        <v>76.599999999999994</v>
      </c>
      <c r="H645" t="s">
        <v>631</v>
      </c>
    </row>
    <row r="646" spans="1:8">
      <c r="A646">
        <v>312</v>
      </c>
      <c r="B646" t="s">
        <v>733</v>
      </c>
      <c r="C646">
        <v>95</v>
      </c>
      <c r="D646">
        <v>6</v>
      </c>
      <c r="E646">
        <v>570</v>
      </c>
      <c r="F646">
        <v>645</v>
      </c>
      <c r="G646">
        <v>76.7</v>
      </c>
      <c r="H646" t="s">
        <v>631</v>
      </c>
    </row>
    <row r="647" spans="1:8">
      <c r="A647">
        <v>379</v>
      </c>
      <c r="B647" t="s">
        <v>734</v>
      </c>
      <c r="C647">
        <v>95</v>
      </c>
      <c r="D647">
        <v>6</v>
      </c>
      <c r="E647">
        <v>570</v>
      </c>
      <c r="F647">
        <v>646</v>
      </c>
      <c r="G647">
        <v>76.7</v>
      </c>
      <c r="H647" t="s">
        <v>631</v>
      </c>
    </row>
    <row r="648" spans="1:8">
      <c r="A648">
        <v>520</v>
      </c>
      <c r="B648" t="s">
        <v>735</v>
      </c>
      <c r="C648">
        <v>95</v>
      </c>
      <c r="D648">
        <v>6</v>
      </c>
      <c r="E648">
        <v>570</v>
      </c>
      <c r="F648">
        <v>647</v>
      </c>
      <c r="G648">
        <v>76.8</v>
      </c>
      <c r="H648" t="s">
        <v>631</v>
      </c>
    </row>
    <row r="649" spans="1:8">
      <c r="A649">
        <v>529</v>
      </c>
      <c r="B649" t="s">
        <v>736</v>
      </c>
      <c r="C649">
        <v>95</v>
      </c>
      <c r="D649">
        <v>6</v>
      </c>
      <c r="E649">
        <v>570</v>
      </c>
      <c r="F649">
        <v>648</v>
      </c>
      <c r="G649">
        <v>76.8</v>
      </c>
      <c r="H649" t="s">
        <v>631</v>
      </c>
    </row>
    <row r="650" spans="1:8">
      <c r="A650">
        <v>1178</v>
      </c>
      <c r="B650" t="s">
        <v>737</v>
      </c>
      <c r="C650">
        <v>95</v>
      </c>
      <c r="D650">
        <v>6</v>
      </c>
      <c r="E650">
        <v>570</v>
      </c>
      <c r="F650">
        <v>649</v>
      </c>
      <c r="G650">
        <v>76.900000000000006</v>
      </c>
      <c r="H650" t="s">
        <v>631</v>
      </c>
    </row>
    <row r="651" spans="1:8">
      <c r="A651">
        <v>1455</v>
      </c>
      <c r="B651" t="s">
        <v>738</v>
      </c>
      <c r="C651">
        <v>114</v>
      </c>
      <c r="D651">
        <v>5</v>
      </c>
      <c r="E651">
        <v>570</v>
      </c>
      <c r="F651">
        <v>650</v>
      </c>
      <c r="G651">
        <v>76.900000000000006</v>
      </c>
      <c r="H651" t="s">
        <v>631</v>
      </c>
    </row>
    <row r="652" spans="1:8">
      <c r="A652">
        <v>2793</v>
      </c>
      <c r="B652" t="s">
        <v>739</v>
      </c>
      <c r="C652">
        <v>95</v>
      </c>
      <c r="D652">
        <v>6</v>
      </c>
      <c r="E652">
        <v>570</v>
      </c>
      <c r="F652">
        <v>651</v>
      </c>
      <c r="G652">
        <v>77</v>
      </c>
      <c r="H652" t="s">
        <v>631</v>
      </c>
    </row>
    <row r="653" spans="1:8">
      <c r="A653">
        <v>2802</v>
      </c>
      <c r="B653" t="s">
        <v>175</v>
      </c>
      <c r="C653">
        <v>95</v>
      </c>
      <c r="D653">
        <v>6</v>
      </c>
      <c r="E653">
        <v>570</v>
      </c>
      <c r="F653">
        <v>652</v>
      </c>
      <c r="G653">
        <v>77.099999999999994</v>
      </c>
      <c r="H653" t="s">
        <v>631</v>
      </c>
    </row>
    <row r="654" spans="1:8">
      <c r="A654">
        <v>226</v>
      </c>
      <c r="B654" t="s">
        <v>740</v>
      </c>
      <c r="C654">
        <v>94</v>
      </c>
      <c r="D654">
        <v>6</v>
      </c>
      <c r="E654">
        <v>564</v>
      </c>
      <c r="F654">
        <v>653</v>
      </c>
      <c r="G654">
        <v>77.099999999999994</v>
      </c>
      <c r="H654" t="s">
        <v>631</v>
      </c>
    </row>
    <row r="655" spans="1:8">
      <c r="A655">
        <v>1184</v>
      </c>
      <c r="B655" t="s">
        <v>741</v>
      </c>
      <c r="C655">
        <v>94</v>
      </c>
      <c r="D655">
        <v>6</v>
      </c>
      <c r="E655">
        <v>564</v>
      </c>
      <c r="F655">
        <v>654</v>
      </c>
      <c r="G655">
        <v>77.2</v>
      </c>
      <c r="H655" t="s">
        <v>631</v>
      </c>
    </row>
    <row r="656" spans="1:8">
      <c r="A656">
        <v>1190</v>
      </c>
      <c r="B656" t="s">
        <v>742</v>
      </c>
      <c r="C656">
        <v>94</v>
      </c>
      <c r="D656">
        <v>6</v>
      </c>
      <c r="E656">
        <v>564</v>
      </c>
      <c r="F656">
        <v>655</v>
      </c>
      <c r="G656">
        <v>77.2</v>
      </c>
      <c r="H656" t="s">
        <v>631</v>
      </c>
    </row>
    <row r="657" spans="1:8">
      <c r="A657">
        <v>1206</v>
      </c>
      <c r="B657" t="s">
        <v>743</v>
      </c>
      <c r="C657">
        <v>94</v>
      </c>
      <c r="D657">
        <v>6</v>
      </c>
      <c r="E657">
        <v>564</v>
      </c>
      <c r="F657">
        <v>656</v>
      </c>
      <c r="G657">
        <v>77.3</v>
      </c>
      <c r="H657" t="s">
        <v>631</v>
      </c>
    </row>
    <row r="658" spans="1:8">
      <c r="A658">
        <v>3496</v>
      </c>
      <c r="B658" t="s">
        <v>744</v>
      </c>
      <c r="C658">
        <v>141</v>
      </c>
      <c r="D658">
        <v>4</v>
      </c>
      <c r="E658">
        <v>564</v>
      </c>
      <c r="F658">
        <v>657</v>
      </c>
      <c r="G658">
        <v>77.3</v>
      </c>
      <c r="H658" t="s">
        <v>631</v>
      </c>
    </row>
    <row r="659" spans="1:8">
      <c r="A659">
        <v>3512</v>
      </c>
      <c r="B659" t="s">
        <v>745</v>
      </c>
      <c r="C659">
        <v>188</v>
      </c>
      <c r="D659">
        <v>3</v>
      </c>
      <c r="E659">
        <v>564</v>
      </c>
      <c r="F659">
        <v>658</v>
      </c>
      <c r="G659">
        <v>77.400000000000006</v>
      </c>
      <c r="H659" t="s">
        <v>631</v>
      </c>
    </row>
    <row r="660" spans="1:8">
      <c r="A660">
        <v>365</v>
      </c>
      <c r="B660" t="s">
        <v>746</v>
      </c>
      <c r="C660">
        <v>112</v>
      </c>
      <c r="D660">
        <v>5</v>
      </c>
      <c r="E660">
        <v>560</v>
      </c>
      <c r="F660">
        <v>659</v>
      </c>
      <c r="G660">
        <v>77.400000000000006</v>
      </c>
      <c r="H660" t="s">
        <v>631</v>
      </c>
    </row>
    <row r="661" spans="1:8">
      <c r="A661">
        <v>1633</v>
      </c>
      <c r="B661" t="s">
        <v>747</v>
      </c>
      <c r="C661">
        <v>140</v>
      </c>
      <c r="D661">
        <v>4</v>
      </c>
      <c r="E661">
        <v>560</v>
      </c>
      <c r="F661">
        <v>660</v>
      </c>
      <c r="G661">
        <v>77.5</v>
      </c>
      <c r="H661" t="s">
        <v>631</v>
      </c>
    </row>
    <row r="662" spans="1:8">
      <c r="A662">
        <v>2861</v>
      </c>
      <c r="B662" t="s">
        <v>748</v>
      </c>
      <c r="C662">
        <v>112</v>
      </c>
      <c r="D662">
        <v>5</v>
      </c>
      <c r="E662">
        <v>560</v>
      </c>
      <c r="F662">
        <v>661</v>
      </c>
      <c r="G662">
        <v>77.5</v>
      </c>
      <c r="H662" t="s">
        <v>631</v>
      </c>
    </row>
    <row r="663" spans="1:8">
      <c r="A663">
        <v>2963</v>
      </c>
      <c r="B663" t="s">
        <v>749</v>
      </c>
      <c r="C663">
        <v>140</v>
      </c>
      <c r="D663">
        <v>4</v>
      </c>
      <c r="E663">
        <v>560</v>
      </c>
      <c r="F663">
        <v>662</v>
      </c>
      <c r="G663">
        <v>77.599999999999994</v>
      </c>
      <c r="H663" t="s">
        <v>631</v>
      </c>
    </row>
    <row r="664" spans="1:8">
      <c r="A664">
        <v>3044</v>
      </c>
      <c r="B664" t="s">
        <v>750</v>
      </c>
      <c r="C664">
        <v>93</v>
      </c>
      <c r="D664">
        <v>6</v>
      </c>
      <c r="E664">
        <v>558</v>
      </c>
      <c r="F664">
        <v>663</v>
      </c>
      <c r="G664">
        <v>77.599999999999994</v>
      </c>
      <c r="H664" t="s">
        <v>631</v>
      </c>
    </row>
    <row r="665" spans="1:8">
      <c r="A665">
        <v>3455</v>
      </c>
      <c r="B665" t="s">
        <v>751</v>
      </c>
      <c r="C665">
        <v>93</v>
      </c>
      <c r="D665">
        <v>6</v>
      </c>
      <c r="E665">
        <v>558</v>
      </c>
      <c r="F665">
        <v>664</v>
      </c>
      <c r="G665">
        <v>77.7</v>
      </c>
      <c r="H665" t="s">
        <v>631</v>
      </c>
    </row>
    <row r="666" spans="1:8">
      <c r="A666">
        <v>3560</v>
      </c>
      <c r="B666" t="s">
        <v>752</v>
      </c>
      <c r="C666">
        <v>93</v>
      </c>
      <c r="D666">
        <v>6</v>
      </c>
      <c r="E666">
        <v>558</v>
      </c>
      <c r="F666">
        <v>665</v>
      </c>
      <c r="G666">
        <v>77.7</v>
      </c>
      <c r="H666" t="s">
        <v>631</v>
      </c>
    </row>
    <row r="667" spans="1:8">
      <c r="A667">
        <v>3713</v>
      </c>
      <c r="B667" t="s">
        <v>753</v>
      </c>
      <c r="C667">
        <v>93</v>
      </c>
      <c r="D667">
        <v>6</v>
      </c>
      <c r="E667">
        <v>558</v>
      </c>
      <c r="F667">
        <v>666</v>
      </c>
      <c r="G667">
        <v>77.8</v>
      </c>
      <c r="H667" t="s">
        <v>631</v>
      </c>
    </row>
    <row r="668" spans="1:8">
      <c r="A668">
        <v>3055</v>
      </c>
      <c r="B668" t="s">
        <v>233</v>
      </c>
      <c r="C668">
        <v>555</v>
      </c>
      <c r="D668">
        <v>1</v>
      </c>
      <c r="E668">
        <v>555</v>
      </c>
      <c r="F668">
        <v>667</v>
      </c>
      <c r="G668">
        <v>77.900000000000006</v>
      </c>
      <c r="H668" t="s">
        <v>631</v>
      </c>
    </row>
    <row r="669" spans="1:8">
      <c r="A669">
        <v>396</v>
      </c>
      <c r="B669" t="s">
        <v>754</v>
      </c>
      <c r="C669">
        <v>110</v>
      </c>
      <c r="D669">
        <v>5</v>
      </c>
      <c r="E669">
        <v>550</v>
      </c>
      <c r="F669">
        <v>668</v>
      </c>
      <c r="G669">
        <v>77.900000000000006</v>
      </c>
      <c r="H669" t="s">
        <v>631</v>
      </c>
    </row>
    <row r="670" spans="1:8">
      <c r="A670">
        <v>1691</v>
      </c>
      <c r="B670" t="s">
        <v>755</v>
      </c>
      <c r="C670">
        <v>110</v>
      </c>
      <c r="D670">
        <v>5</v>
      </c>
      <c r="E670">
        <v>550</v>
      </c>
      <c r="F670">
        <v>669</v>
      </c>
      <c r="G670">
        <v>78</v>
      </c>
      <c r="H670" t="s">
        <v>631</v>
      </c>
    </row>
    <row r="671" spans="1:8">
      <c r="A671">
        <v>3023</v>
      </c>
      <c r="B671" t="s">
        <v>65</v>
      </c>
      <c r="C671">
        <v>549</v>
      </c>
      <c r="D671">
        <v>1</v>
      </c>
      <c r="E671">
        <v>549</v>
      </c>
      <c r="F671">
        <v>670</v>
      </c>
      <c r="G671">
        <v>78</v>
      </c>
      <c r="H671" t="s">
        <v>631</v>
      </c>
    </row>
    <row r="672" spans="1:8">
      <c r="A672">
        <v>3494</v>
      </c>
      <c r="B672" t="s">
        <v>164</v>
      </c>
      <c r="C672">
        <v>549</v>
      </c>
      <c r="D672">
        <v>1</v>
      </c>
      <c r="E672">
        <v>549</v>
      </c>
      <c r="F672">
        <v>671</v>
      </c>
      <c r="G672">
        <v>78.099999999999994</v>
      </c>
      <c r="H672" t="s">
        <v>631</v>
      </c>
    </row>
    <row r="673" spans="1:8">
      <c r="A673">
        <v>1175</v>
      </c>
      <c r="B673" t="s">
        <v>73</v>
      </c>
      <c r="C673">
        <v>137</v>
      </c>
      <c r="D673">
        <v>4</v>
      </c>
      <c r="E673">
        <v>548</v>
      </c>
      <c r="F673">
        <v>672</v>
      </c>
      <c r="G673">
        <v>78.099999999999994</v>
      </c>
      <c r="H673" t="s">
        <v>631</v>
      </c>
    </row>
    <row r="674" spans="1:8">
      <c r="A674">
        <v>1551</v>
      </c>
      <c r="B674" t="s">
        <v>756</v>
      </c>
      <c r="C674">
        <v>91</v>
      </c>
      <c r="D674">
        <v>6</v>
      </c>
      <c r="E674">
        <v>546</v>
      </c>
      <c r="F674">
        <v>673</v>
      </c>
      <c r="G674">
        <v>78.2</v>
      </c>
      <c r="H674" t="s">
        <v>631</v>
      </c>
    </row>
    <row r="675" spans="1:8">
      <c r="A675">
        <v>1717</v>
      </c>
      <c r="B675" t="s">
        <v>757</v>
      </c>
      <c r="C675">
        <v>91</v>
      </c>
      <c r="D675">
        <v>6</v>
      </c>
      <c r="E675">
        <v>546</v>
      </c>
      <c r="F675">
        <v>674</v>
      </c>
      <c r="G675">
        <v>78.2</v>
      </c>
      <c r="H675" t="s">
        <v>631</v>
      </c>
    </row>
    <row r="676" spans="1:8">
      <c r="A676">
        <v>195</v>
      </c>
      <c r="B676" t="s">
        <v>758</v>
      </c>
      <c r="C676">
        <v>90</v>
      </c>
      <c r="D676">
        <v>6</v>
      </c>
      <c r="E676">
        <v>540</v>
      </c>
      <c r="F676">
        <v>675</v>
      </c>
      <c r="G676">
        <v>78.3</v>
      </c>
      <c r="H676" t="s">
        <v>631</v>
      </c>
    </row>
    <row r="677" spans="1:8">
      <c r="A677">
        <v>248</v>
      </c>
      <c r="B677" t="s">
        <v>759</v>
      </c>
      <c r="C677">
        <v>90</v>
      </c>
      <c r="D677">
        <v>6</v>
      </c>
      <c r="E677">
        <v>540</v>
      </c>
      <c r="F677">
        <v>676</v>
      </c>
      <c r="G677">
        <v>78.3</v>
      </c>
      <c r="H677" t="s">
        <v>631</v>
      </c>
    </row>
    <row r="678" spans="1:8">
      <c r="A678">
        <v>269</v>
      </c>
      <c r="B678" t="s">
        <v>760</v>
      </c>
      <c r="C678">
        <v>90</v>
      </c>
      <c r="D678">
        <v>6</v>
      </c>
      <c r="E678">
        <v>540</v>
      </c>
      <c r="F678">
        <v>677</v>
      </c>
      <c r="G678">
        <v>78.400000000000006</v>
      </c>
      <c r="H678" t="s">
        <v>631</v>
      </c>
    </row>
    <row r="679" spans="1:8">
      <c r="A679">
        <v>400</v>
      </c>
      <c r="B679" t="s">
        <v>761</v>
      </c>
      <c r="C679">
        <v>108</v>
      </c>
      <c r="D679">
        <v>5</v>
      </c>
      <c r="E679">
        <v>540</v>
      </c>
      <c r="F679">
        <v>678</v>
      </c>
      <c r="G679">
        <v>78.400000000000006</v>
      </c>
      <c r="H679" t="s">
        <v>631</v>
      </c>
    </row>
    <row r="680" spans="1:8">
      <c r="A680">
        <v>424</v>
      </c>
      <c r="B680" t="s">
        <v>762</v>
      </c>
      <c r="C680">
        <v>108</v>
      </c>
      <c r="D680">
        <v>5</v>
      </c>
      <c r="E680">
        <v>540</v>
      </c>
      <c r="F680">
        <v>679</v>
      </c>
      <c r="G680">
        <v>78.5</v>
      </c>
      <c r="H680" t="s">
        <v>631</v>
      </c>
    </row>
    <row r="681" spans="1:8">
      <c r="A681">
        <v>429</v>
      </c>
      <c r="B681" t="s">
        <v>763</v>
      </c>
      <c r="C681">
        <v>90</v>
      </c>
      <c r="D681">
        <v>6</v>
      </c>
      <c r="E681">
        <v>540</v>
      </c>
      <c r="F681">
        <v>680</v>
      </c>
      <c r="G681">
        <v>78.5</v>
      </c>
      <c r="H681" t="s">
        <v>631</v>
      </c>
    </row>
    <row r="682" spans="1:8">
      <c r="A682">
        <v>1421</v>
      </c>
      <c r="B682" t="s">
        <v>764</v>
      </c>
      <c r="C682">
        <v>90</v>
      </c>
      <c r="D682">
        <v>6</v>
      </c>
      <c r="E682">
        <v>540</v>
      </c>
      <c r="F682">
        <v>681</v>
      </c>
      <c r="G682">
        <v>78.599999999999994</v>
      </c>
      <c r="H682" t="s">
        <v>631</v>
      </c>
    </row>
    <row r="683" spans="1:8">
      <c r="A683">
        <v>2825</v>
      </c>
      <c r="B683" t="s">
        <v>176</v>
      </c>
      <c r="C683">
        <v>90</v>
      </c>
      <c r="D683">
        <v>6</v>
      </c>
      <c r="E683">
        <v>540</v>
      </c>
      <c r="F683">
        <v>682</v>
      </c>
      <c r="G683">
        <v>78.599999999999994</v>
      </c>
      <c r="H683" t="s">
        <v>631</v>
      </c>
    </row>
    <row r="684" spans="1:8">
      <c r="A684">
        <v>2849</v>
      </c>
      <c r="B684" t="s">
        <v>765</v>
      </c>
      <c r="C684">
        <v>180</v>
      </c>
      <c r="D684">
        <v>3</v>
      </c>
      <c r="E684">
        <v>540</v>
      </c>
      <c r="F684">
        <v>683</v>
      </c>
      <c r="G684">
        <v>78.7</v>
      </c>
      <c r="H684" t="s">
        <v>631</v>
      </c>
    </row>
    <row r="685" spans="1:8">
      <c r="A685">
        <v>2888</v>
      </c>
      <c r="B685" t="s">
        <v>766</v>
      </c>
      <c r="C685">
        <v>180</v>
      </c>
      <c r="D685">
        <v>3</v>
      </c>
      <c r="E685">
        <v>540</v>
      </c>
      <c r="F685">
        <v>684</v>
      </c>
      <c r="G685">
        <v>78.7</v>
      </c>
      <c r="H685" t="s">
        <v>631</v>
      </c>
    </row>
    <row r="686" spans="1:8">
      <c r="A686">
        <v>3046</v>
      </c>
      <c r="B686" t="s">
        <v>767</v>
      </c>
      <c r="C686">
        <v>90</v>
      </c>
      <c r="D686">
        <v>6</v>
      </c>
      <c r="E686">
        <v>540</v>
      </c>
      <c r="F686">
        <v>685</v>
      </c>
      <c r="G686">
        <v>78.8</v>
      </c>
      <c r="H686" t="s">
        <v>631</v>
      </c>
    </row>
    <row r="687" spans="1:8">
      <c r="A687">
        <v>3559</v>
      </c>
      <c r="B687" t="s">
        <v>768</v>
      </c>
      <c r="C687">
        <v>90</v>
      </c>
      <c r="D687">
        <v>6</v>
      </c>
      <c r="E687">
        <v>540</v>
      </c>
      <c r="F687">
        <v>686</v>
      </c>
      <c r="G687">
        <v>78.8</v>
      </c>
      <c r="H687" t="s">
        <v>631</v>
      </c>
    </row>
    <row r="688" spans="1:8">
      <c r="A688">
        <v>3716</v>
      </c>
      <c r="B688" t="s">
        <v>769</v>
      </c>
      <c r="C688">
        <v>270</v>
      </c>
      <c r="D688">
        <v>2</v>
      </c>
      <c r="E688">
        <v>540</v>
      </c>
      <c r="F688">
        <v>687</v>
      </c>
      <c r="G688">
        <v>78.900000000000006</v>
      </c>
      <c r="H688" t="s">
        <v>631</v>
      </c>
    </row>
    <row r="689" spans="1:8">
      <c r="A689">
        <v>3582</v>
      </c>
      <c r="B689" t="s">
        <v>770</v>
      </c>
      <c r="C689">
        <v>269</v>
      </c>
      <c r="D689">
        <v>2</v>
      </c>
      <c r="E689">
        <v>538</v>
      </c>
      <c r="F689">
        <v>688</v>
      </c>
      <c r="G689">
        <v>78.900000000000006</v>
      </c>
      <c r="H689" t="s">
        <v>631</v>
      </c>
    </row>
    <row r="690" spans="1:8">
      <c r="A690">
        <v>188</v>
      </c>
      <c r="B690" t="s">
        <v>771</v>
      </c>
      <c r="C690">
        <v>134</v>
      </c>
      <c r="D690">
        <v>4</v>
      </c>
      <c r="E690">
        <v>536</v>
      </c>
      <c r="F690">
        <v>689</v>
      </c>
      <c r="G690">
        <v>79</v>
      </c>
      <c r="H690" t="s">
        <v>631</v>
      </c>
    </row>
    <row r="691" spans="1:8">
      <c r="A691">
        <v>2848</v>
      </c>
      <c r="B691" t="s">
        <v>772</v>
      </c>
      <c r="C691">
        <v>134</v>
      </c>
      <c r="D691">
        <v>4</v>
      </c>
      <c r="E691">
        <v>536</v>
      </c>
      <c r="F691">
        <v>690</v>
      </c>
      <c r="G691">
        <v>79</v>
      </c>
      <c r="H691" t="s">
        <v>631</v>
      </c>
    </row>
    <row r="692" spans="1:8">
      <c r="A692">
        <v>183</v>
      </c>
      <c r="B692" t="s">
        <v>773</v>
      </c>
      <c r="C692">
        <v>89</v>
      </c>
      <c r="D692">
        <v>6</v>
      </c>
      <c r="E692">
        <v>534</v>
      </c>
      <c r="F692">
        <v>691</v>
      </c>
      <c r="G692">
        <v>79.099999999999994</v>
      </c>
      <c r="H692" t="s">
        <v>631</v>
      </c>
    </row>
    <row r="693" spans="1:8">
      <c r="A693">
        <v>346</v>
      </c>
      <c r="B693" t="s">
        <v>774</v>
      </c>
      <c r="C693">
        <v>89</v>
      </c>
      <c r="D693">
        <v>6</v>
      </c>
      <c r="E693">
        <v>534</v>
      </c>
      <c r="F693">
        <v>692</v>
      </c>
      <c r="G693">
        <v>79.099999999999994</v>
      </c>
      <c r="H693" t="s">
        <v>631</v>
      </c>
    </row>
    <row r="694" spans="1:8">
      <c r="A694">
        <v>451</v>
      </c>
      <c r="B694" t="s">
        <v>775</v>
      </c>
      <c r="C694">
        <v>89</v>
      </c>
      <c r="D694">
        <v>6</v>
      </c>
      <c r="E694">
        <v>534</v>
      </c>
      <c r="F694">
        <v>693</v>
      </c>
      <c r="G694">
        <v>79.2</v>
      </c>
      <c r="H694" t="s">
        <v>631</v>
      </c>
    </row>
    <row r="695" spans="1:8">
      <c r="A695">
        <v>516</v>
      </c>
      <c r="B695" t="s">
        <v>776</v>
      </c>
      <c r="C695">
        <v>89</v>
      </c>
      <c r="D695">
        <v>6</v>
      </c>
      <c r="E695">
        <v>534</v>
      </c>
      <c r="F695">
        <v>694</v>
      </c>
      <c r="G695">
        <v>79.2</v>
      </c>
      <c r="H695" t="s">
        <v>631</v>
      </c>
    </row>
    <row r="696" spans="1:8">
      <c r="A696">
        <v>537</v>
      </c>
      <c r="B696" t="s">
        <v>777</v>
      </c>
      <c r="C696">
        <v>89</v>
      </c>
      <c r="D696">
        <v>6</v>
      </c>
      <c r="E696">
        <v>534</v>
      </c>
      <c r="F696">
        <v>695</v>
      </c>
      <c r="G696">
        <v>79.3</v>
      </c>
      <c r="H696" t="s">
        <v>631</v>
      </c>
    </row>
    <row r="697" spans="1:8">
      <c r="A697">
        <v>2886</v>
      </c>
      <c r="B697" t="s">
        <v>778</v>
      </c>
      <c r="C697">
        <v>89</v>
      </c>
      <c r="D697">
        <v>6</v>
      </c>
      <c r="E697">
        <v>534</v>
      </c>
      <c r="F697">
        <v>696</v>
      </c>
      <c r="G697">
        <v>79.3</v>
      </c>
      <c r="H697" t="s">
        <v>631</v>
      </c>
    </row>
    <row r="698" spans="1:8">
      <c r="A698">
        <v>2901</v>
      </c>
      <c r="B698" t="s">
        <v>779</v>
      </c>
      <c r="C698">
        <v>89</v>
      </c>
      <c r="D698">
        <v>6</v>
      </c>
      <c r="E698">
        <v>534</v>
      </c>
      <c r="F698">
        <v>697</v>
      </c>
      <c r="G698">
        <v>79.400000000000006</v>
      </c>
      <c r="H698" t="s">
        <v>631</v>
      </c>
    </row>
    <row r="699" spans="1:8">
      <c r="A699">
        <v>3443</v>
      </c>
      <c r="B699" t="s">
        <v>780</v>
      </c>
      <c r="C699">
        <v>89</v>
      </c>
      <c r="D699">
        <v>6</v>
      </c>
      <c r="E699">
        <v>534</v>
      </c>
      <c r="F699">
        <v>698</v>
      </c>
      <c r="G699">
        <v>79.400000000000006</v>
      </c>
      <c r="H699" t="s">
        <v>631</v>
      </c>
    </row>
    <row r="700" spans="1:8">
      <c r="A700">
        <v>3692</v>
      </c>
      <c r="B700" t="s">
        <v>781</v>
      </c>
      <c r="C700">
        <v>89</v>
      </c>
      <c r="D700">
        <v>6</v>
      </c>
      <c r="E700">
        <v>534</v>
      </c>
      <c r="F700">
        <v>699</v>
      </c>
      <c r="G700">
        <v>79.5</v>
      </c>
      <c r="H700" t="s">
        <v>631</v>
      </c>
    </row>
    <row r="701" spans="1:8">
      <c r="A701">
        <v>2810</v>
      </c>
      <c r="B701" t="s">
        <v>782</v>
      </c>
      <c r="C701">
        <v>265</v>
      </c>
      <c r="D701">
        <v>2</v>
      </c>
      <c r="E701">
        <v>530</v>
      </c>
      <c r="F701">
        <v>700</v>
      </c>
      <c r="G701">
        <v>79.5</v>
      </c>
      <c r="H701" t="s">
        <v>631</v>
      </c>
    </row>
    <row r="702" spans="1:8">
      <c r="A702">
        <v>256</v>
      </c>
      <c r="B702" t="s">
        <v>783</v>
      </c>
      <c r="C702">
        <v>88</v>
      </c>
      <c r="D702">
        <v>6</v>
      </c>
      <c r="E702">
        <v>528</v>
      </c>
      <c r="F702">
        <v>701</v>
      </c>
      <c r="G702">
        <v>79.599999999999994</v>
      </c>
      <c r="H702" t="s">
        <v>631</v>
      </c>
    </row>
    <row r="703" spans="1:8">
      <c r="A703">
        <v>355</v>
      </c>
      <c r="B703" t="s">
        <v>784</v>
      </c>
      <c r="C703">
        <v>88</v>
      </c>
      <c r="D703">
        <v>6</v>
      </c>
      <c r="E703">
        <v>528</v>
      </c>
      <c r="F703">
        <v>702</v>
      </c>
      <c r="G703">
        <v>79.599999999999994</v>
      </c>
      <c r="H703" t="s">
        <v>631</v>
      </c>
    </row>
    <row r="704" spans="1:8">
      <c r="A704">
        <v>1552</v>
      </c>
      <c r="B704" t="s">
        <v>785</v>
      </c>
      <c r="C704">
        <v>88</v>
      </c>
      <c r="D704">
        <v>6</v>
      </c>
      <c r="E704">
        <v>528</v>
      </c>
      <c r="F704">
        <v>703</v>
      </c>
      <c r="G704">
        <v>79.7</v>
      </c>
      <c r="H704" t="s">
        <v>631</v>
      </c>
    </row>
    <row r="705" spans="1:8">
      <c r="A705">
        <v>2980</v>
      </c>
      <c r="B705" t="s">
        <v>786</v>
      </c>
      <c r="C705">
        <v>88</v>
      </c>
      <c r="D705">
        <v>6</v>
      </c>
      <c r="E705">
        <v>528</v>
      </c>
      <c r="F705">
        <v>704</v>
      </c>
      <c r="G705">
        <v>79.7</v>
      </c>
      <c r="H705" t="s">
        <v>631</v>
      </c>
    </row>
    <row r="706" spans="1:8">
      <c r="A706">
        <v>3527</v>
      </c>
      <c r="B706" t="s">
        <v>787</v>
      </c>
      <c r="C706">
        <v>132</v>
      </c>
      <c r="D706">
        <v>4</v>
      </c>
      <c r="E706">
        <v>528</v>
      </c>
      <c r="F706">
        <v>705</v>
      </c>
      <c r="G706">
        <v>79.8</v>
      </c>
      <c r="H706" t="s">
        <v>631</v>
      </c>
    </row>
    <row r="707" spans="1:8">
      <c r="A707">
        <v>504</v>
      </c>
      <c r="B707" t="s">
        <v>104</v>
      </c>
      <c r="C707">
        <v>175</v>
      </c>
      <c r="D707">
        <v>3</v>
      </c>
      <c r="E707">
        <v>525</v>
      </c>
      <c r="F707">
        <v>706</v>
      </c>
      <c r="G707">
        <v>79.8</v>
      </c>
      <c r="H707" t="s">
        <v>631</v>
      </c>
    </row>
    <row r="708" spans="1:8">
      <c r="A708">
        <v>2638</v>
      </c>
      <c r="B708" t="s">
        <v>788</v>
      </c>
      <c r="C708">
        <v>105</v>
      </c>
      <c r="D708">
        <v>5</v>
      </c>
      <c r="E708">
        <v>525</v>
      </c>
      <c r="F708">
        <v>707</v>
      </c>
      <c r="G708">
        <v>79.900000000000006</v>
      </c>
      <c r="H708" t="s">
        <v>631</v>
      </c>
    </row>
    <row r="709" spans="1:8">
      <c r="A709">
        <v>2996</v>
      </c>
      <c r="B709" t="s">
        <v>789</v>
      </c>
      <c r="C709">
        <v>175</v>
      </c>
      <c r="D709">
        <v>3</v>
      </c>
      <c r="E709">
        <v>525</v>
      </c>
      <c r="F709">
        <v>708</v>
      </c>
      <c r="G709">
        <v>79.900000000000006</v>
      </c>
      <c r="H709" t="s">
        <v>631</v>
      </c>
    </row>
    <row r="710" spans="1:8">
      <c r="A710">
        <v>430</v>
      </c>
      <c r="B710" t="s">
        <v>790</v>
      </c>
      <c r="C710">
        <v>87</v>
      </c>
      <c r="D710">
        <v>6</v>
      </c>
      <c r="E710">
        <v>522</v>
      </c>
      <c r="F710">
        <v>709</v>
      </c>
      <c r="G710">
        <v>80</v>
      </c>
      <c r="H710" t="s">
        <v>631</v>
      </c>
    </row>
    <row r="711" spans="1:8">
      <c r="A711">
        <v>3008</v>
      </c>
      <c r="B711" t="s">
        <v>791</v>
      </c>
      <c r="C711">
        <v>130</v>
      </c>
      <c r="D711">
        <v>4</v>
      </c>
      <c r="E711">
        <v>520</v>
      </c>
      <c r="F711">
        <v>710</v>
      </c>
      <c r="G711">
        <v>80</v>
      </c>
      <c r="H711" t="s">
        <v>631</v>
      </c>
    </row>
    <row r="712" spans="1:8">
      <c r="A712">
        <v>197</v>
      </c>
      <c r="B712" t="s">
        <v>792</v>
      </c>
      <c r="C712">
        <v>86</v>
      </c>
      <c r="D712">
        <v>6</v>
      </c>
      <c r="E712">
        <v>516</v>
      </c>
      <c r="F712">
        <v>711</v>
      </c>
      <c r="G712">
        <v>80.099999999999994</v>
      </c>
      <c r="H712" t="s">
        <v>631</v>
      </c>
    </row>
    <row r="713" spans="1:8">
      <c r="A713">
        <v>442</v>
      </c>
      <c r="B713" t="s">
        <v>793</v>
      </c>
      <c r="C713">
        <v>86</v>
      </c>
      <c r="D713">
        <v>6</v>
      </c>
      <c r="E713">
        <v>516</v>
      </c>
      <c r="F713">
        <v>712</v>
      </c>
      <c r="G713">
        <v>80.099999999999994</v>
      </c>
      <c r="H713" t="s">
        <v>631</v>
      </c>
    </row>
    <row r="714" spans="1:8">
      <c r="A714">
        <v>1414</v>
      </c>
      <c r="B714" t="s">
        <v>794</v>
      </c>
      <c r="C714">
        <v>86</v>
      </c>
      <c r="D714">
        <v>6</v>
      </c>
      <c r="E714">
        <v>516</v>
      </c>
      <c r="F714">
        <v>713</v>
      </c>
      <c r="G714">
        <v>80.2</v>
      </c>
      <c r="H714" t="s">
        <v>631</v>
      </c>
    </row>
    <row r="715" spans="1:8">
      <c r="A715">
        <v>1429</v>
      </c>
      <c r="B715" t="s">
        <v>795</v>
      </c>
      <c r="C715">
        <v>86</v>
      </c>
      <c r="D715">
        <v>6</v>
      </c>
      <c r="E715">
        <v>516</v>
      </c>
      <c r="F715">
        <v>714</v>
      </c>
      <c r="G715">
        <v>80.2</v>
      </c>
      <c r="H715" t="s">
        <v>631</v>
      </c>
    </row>
    <row r="716" spans="1:8">
      <c r="A716">
        <v>1480</v>
      </c>
      <c r="B716" t="s">
        <v>796</v>
      </c>
      <c r="C716">
        <v>86</v>
      </c>
      <c r="D716">
        <v>6</v>
      </c>
      <c r="E716">
        <v>516</v>
      </c>
      <c r="F716">
        <v>715</v>
      </c>
      <c r="G716">
        <v>80.3</v>
      </c>
      <c r="H716" t="s">
        <v>631</v>
      </c>
    </row>
    <row r="717" spans="1:8">
      <c r="A717">
        <v>3501</v>
      </c>
      <c r="B717" t="s">
        <v>797</v>
      </c>
      <c r="C717">
        <v>86</v>
      </c>
      <c r="D717">
        <v>6</v>
      </c>
      <c r="E717">
        <v>516</v>
      </c>
      <c r="F717">
        <v>716</v>
      </c>
      <c r="G717">
        <v>80.3</v>
      </c>
      <c r="H717" t="s">
        <v>631</v>
      </c>
    </row>
    <row r="718" spans="1:8">
      <c r="A718">
        <v>3549</v>
      </c>
      <c r="B718" t="s">
        <v>798</v>
      </c>
      <c r="C718">
        <v>86</v>
      </c>
      <c r="D718">
        <v>6</v>
      </c>
      <c r="E718">
        <v>516</v>
      </c>
      <c r="F718">
        <v>717</v>
      </c>
      <c r="G718">
        <v>80.400000000000006</v>
      </c>
      <c r="H718" t="s">
        <v>631</v>
      </c>
    </row>
    <row r="719" spans="1:8">
      <c r="A719">
        <v>287</v>
      </c>
      <c r="B719" t="s">
        <v>799</v>
      </c>
      <c r="C719">
        <v>256</v>
      </c>
      <c r="D719">
        <v>2</v>
      </c>
      <c r="E719">
        <v>512</v>
      </c>
      <c r="F719">
        <v>718</v>
      </c>
      <c r="G719">
        <v>80.400000000000006</v>
      </c>
      <c r="H719" t="s">
        <v>631</v>
      </c>
    </row>
    <row r="720" spans="1:8">
      <c r="A720">
        <v>1525</v>
      </c>
      <c r="B720" t="s">
        <v>800</v>
      </c>
      <c r="C720">
        <v>128</v>
      </c>
      <c r="D720">
        <v>4</v>
      </c>
      <c r="E720">
        <v>512</v>
      </c>
      <c r="F720">
        <v>719</v>
      </c>
      <c r="G720">
        <v>80.5</v>
      </c>
      <c r="H720" t="s">
        <v>631</v>
      </c>
    </row>
    <row r="721" spans="1:8">
      <c r="A721">
        <v>1452</v>
      </c>
      <c r="B721" t="s">
        <v>801</v>
      </c>
      <c r="C721">
        <v>85</v>
      </c>
      <c r="D721">
        <v>6</v>
      </c>
      <c r="E721">
        <v>510</v>
      </c>
      <c r="F721">
        <v>720</v>
      </c>
      <c r="G721">
        <v>80.5</v>
      </c>
      <c r="H721" t="s">
        <v>631</v>
      </c>
    </row>
    <row r="722" spans="1:8">
      <c r="A722">
        <v>2795</v>
      </c>
      <c r="B722" t="s">
        <v>802</v>
      </c>
      <c r="C722">
        <v>85</v>
      </c>
      <c r="D722">
        <v>6</v>
      </c>
      <c r="E722">
        <v>510</v>
      </c>
      <c r="F722">
        <v>721</v>
      </c>
      <c r="G722">
        <v>80.599999999999994</v>
      </c>
      <c r="H722" t="s">
        <v>631</v>
      </c>
    </row>
    <row r="723" spans="1:8">
      <c r="A723">
        <v>3029</v>
      </c>
      <c r="B723" t="s">
        <v>803</v>
      </c>
      <c r="C723">
        <v>509</v>
      </c>
      <c r="D723">
        <v>1</v>
      </c>
      <c r="E723">
        <v>509</v>
      </c>
      <c r="F723">
        <v>722</v>
      </c>
      <c r="G723">
        <v>80.599999999999994</v>
      </c>
      <c r="H723" t="s">
        <v>631</v>
      </c>
    </row>
    <row r="724" spans="1:8">
      <c r="A724">
        <v>201</v>
      </c>
      <c r="B724" t="s">
        <v>804</v>
      </c>
      <c r="C724">
        <v>101</v>
      </c>
      <c r="D724">
        <v>5</v>
      </c>
      <c r="E724">
        <v>505</v>
      </c>
      <c r="F724">
        <v>723</v>
      </c>
      <c r="G724">
        <v>80.7</v>
      </c>
      <c r="H724" t="s">
        <v>631</v>
      </c>
    </row>
    <row r="725" spans="1:8">
      <c r="A725">
        <v>479</v>
      </c>
      <c r="B725" t="s">
        <v>805</v>
      </c>
      <c r="C725">
        <v>84</v>
      </c>
      <c r="D725">
        <v>6</v>
      </c>
      <c r="E725">
        <v>504</v>
      </c>
      <c r="F725">
        <v>724</v>
      </c>
      <c r="G725">
        <v>80.7</v>
      </c>
      <c r="H725" t="s">
        <v>631</v>
      </c>
    </row>
    <row r="726" spans="1:8">
      <c r="A726">
        <v>2958</v>
      </c>
      <c r="B726" t="s">
        <v>152</v>
      </c>
      <c r="C726">
        <v>126</v>
      </c>
      <c r="D726">
        <v>4</v>
      </c>
      <c r="E726">
        <v>504</v>
      </c>
      <c r="F726">
        <v>725</v>
      </c>
      <c r="G726">
        <v>80.8</v>
      </c>
      <c r="H726" t="s">
        <v>631</v>
      </c>
    </row>
    <row r="727" spans="1:8">
      <c r="A727">
        <v>2974</v>
      </c>
      <c r="B727" t="s">
        <v>105</v>
      </c>
      <c r="C727">
        <v>126</v>
      </c>
      <c r="D727">
        <v>4</v>
      </c>
      <c r="E727">
        <v>504</v>
      </c>
      <c r="F727">
        <v>726</v>
      </c>
      <c r="G727">
        <v>80.8</v>
      </c>
      <c r="H727" t="s">
        <v>631</v>
      </c>
    </row>
    <row r="728" spans="1:8">
      <c r="A728">
        <v>1411</v>
      </c>
      <c r="B728" t="s">
        <v>806</v>
      </c>
      <c r="C728">
        <v>167</v>
      </c>
      <c r="D728">
        <v>3</v>
      </c>
      <c r="E728">
        <v>501</v>
      </c>
      <c r="F728">
        <v>727</v>
      </c>
      <c r="G728">
        <v>80.900000000000006</v>
      </c>
      <c r="H728" t="s">
        <v>631</v>
      </c>
    </row>
    <row r="729" spans="1:8">
      <c r="A729">
        <v>1201</v>
      </c>
      <c r="B729" t="s">
        <v>75</v>
      </c>
      <c r="C729">
        <v>125</v>
      </c>
      <c r="D729">
        <v>4</v>
      </c>
      <c r="E729">
        <v>500</v>
      </c>
      <c r="F729">
        <v>728</v>
      </c>
      <c r="G729">
        <v>80.900000000000006</v>
      </c>
      <c r="H729" t="s">
        <v>631</v>
      </c>
    </row>
    <row r="730" spans="1:8">
      <c r="A730">
        <v>3599</v>
      </c>
      <c r="B730" t="s">
        <v>96</v>
      </c>
      <c r="C730">
        <v>499</v>
      </c>
      <c r="D730">
        <v>1</v>
      </c>
      <c r="E730">
        <v>499</v>
      </c>
      <c r="F730">
        <v>729</v>
      </c>
      <c r="G730">
        <v>80.900000000000006</v>
      </c>
      <c r="H730" t="s">
        <v>631</v>
      </c>
    </row>
    <row r="731" spans="1:8">
      <c r="A731">
        <v>1623</v>
      </c>
      <c r="B731" t="s">
        <v>807</v>
      </c>
      <c r="C731">
        <v>124</v>
      </c>
      <c r="D731">
        <v>4</v>
      </c>
      <c r="E731">
        <v>496</v>
      </c>
      <c r="F731">
        <v>730</v>
      </c>
      <c r="G731">
        <v>81</v>
      </c>
      <c r="H731" t="s">
        <v>631</v>
      </c>
    </row>
    <row r="732" spans="1:8">
      <c r="A732">
        <v>2585</v>
      </c>
      <c r="B732" t="s">
        <v>808</v>
      </c>
      <c r="C732">
        <v>495</v>
      </c>
      <c r="D732">
        <v>1</v>
      </c>
      <c r="E732">
        <v>495</v>
      </c>
      <c r="F732">
        <v>731</v>
      </c>
      <c r="G732">
        <v>81</v>
      </c>
      <c r="H732" t="s">
        <v>631</v>
      </c>
    </row>
    <row r="733" spans="1:8">
      <c r="A733">
        <v>2611</v>
      </c>
      <c r="B733" t="s">
        <v>809</v>
      </c>
      <c r="C733">
        <v>99</v>
      </c>
      <c r="D733">
        <v>5</v>
      </c>
      <c r="E733">
        <v>495</v>
      </c>
      <c r="F733">
        <v>732</v>
      </c>
      <c r="G733">
        <v>81.099999999999994</v>
      </c>
      <c r="H733" t="s">
        <v>631</v>
      </c>
    </row>
    <row r="734" spans="1:8">
      <c r="A734">
        <v>1163</v>
      </c>
      <c r="B734" t="s">
        <v>810</v>
      </c>
      <c r="C734">
        <v>82</v>
      </c>
      <c r="D734">
        <v>6</v>
      </c>
      <c r="E734">
        <v>492</v>
      </c>
      <c r="F734">
        <v>733</v>
      </c>
      <c r="G734">
        <v>81.099999999999994</v>
      </c>
      <c r="H734" t="s">
        <v>631</v>
      </c>
    </row>
    <row r="735" spans="1:8">
      <c r="A735">
        <v>2783</v>
      </c>
      <c r="B735" t="s">
        <v>811</v>
      </c>
      <c r="C735">
        <v>82</v>
      </c>
      <c r="D735">
        <v>6</v>
      </c>
      <c r="E735">
        <v>492</v>
      </c>
      <c r="F735">
        <v>734</v>
      </c>
      <c r="G735">
        <v>81.2</v>
      </c>
      <c r="H735" t="s">
        <v>631</v>
      </c>
    </row>
    <row r="736" spans="1:8">
      <c r="A736">
        <v>2919</v>
      </c>
      <c r="B736" t="s">
        <v>111</v>
      </c>
      <c r="C736">
        <v>123</v>
      </c>
      <c r="D736">
        <v>4</v>
      </c>
      <c r="E736">
        <v>492</v>
      </c>
      <c r="F736">
        <v>735</v>
      </c>
      <c r="G736">
        <v>81.2</v>
      </c>
      <c r="H736" t="s">
        <v>631</v>
      </c>
    </row>
    <row r="737" spans="1:8">
      <c r="A737">
        <v>2940</v>
      </c>
      <c r="B737" t="s">
        <v>812</v>
      </c>
      <c r="C737">
        <v>123</v>
      </c>
      <c r="D737">
        <v>4</v>
      </c>
      <c r="E737">
        <v>492</v>
      </c>
      <c r="F737">
        <v>736</v>
      </c>
      <c r="G737">
        <v>81.3</v>
      </c>
      <c r="H737" t="s">
        <v>631</v>
      </c>
    </row>
    <row r="738" spans="1:8">
      <c r="A738">
        <v>3533</v>
      </c>
      <c r="B738" t="s">
        <v>813</v>
      </c>
      <c r="C738">
        <v>82</v>
      </c>
      <c r="D738">
        <v>6</v>
      </c>
      <c r="E738">
        <v>492</v>
      </c>
      <c r="F738">
        <v>737</v>
      </c>
      <c r="G738">
        <v>81.3</v>
      </c>
      <c r="H738" t="s">
        <v>631</v>
      </c>
    </row>
    <row r="739" spans="1:8">
      <c r="A739">
        <v>3641</v>
      </c>
      <c r="B739" t="s">
        <v>814</v>
      </c>
      <c r="C739">
        <v>82</v>
      </c>
      <c r="D739">
        <v>6</v>
      </c>
      <c r="E739">
        <v>492</v>
      </c>
      <c r="F739">
        <v>738</v>
      </c>
      <c r="G739">
        <v>81.400000000000006</v>
      </c>
      <c r="H739" t="s">
        <v>631</v>
      </c>
    </row>
    <row r="740" spans="1:8">
      <c r="A740">
        <v>247</v>
      </c>
      <c r="B740" t="s">
        <v>815</v>
      </c>
      <c r="C740">
        <v>98</v>
      </c>
      <c r="D740">
        <v>5</v>
      </c>
      <c r="E740">
        <v>490</v>
      </c>
      <c r="F740">
        <v>739</v>
      </c>
      <c r="G740">
        <v>81.400000000000006</v>
      </c>
      <c r="H740" t="s">
        <v>631</v>
      </c>
    </row>
    <row r="741" spans="1:8">
      <c r="A741">
        <v>2816</v>
      </c>
      <c r="B741" t="s">
        <v>816</v>
      </c>
      <c r="C741">
        <v>98</v>
      </c>
      <c r="D741">
        <v>5</v>
      </c>
      <c r="E741">
        <v>490</v>
      </c>
      <c r="F741">
        <v>740</v>
      </c>
      <c r="G741">
        <v>81.5</v>
      </c>
      <c r="H741" t="s">
        <v>631</v>
      </c>
    </row>
    <row r="742" spans="1:8">
      <c r="A742">
        <v>426</v>
      </c>
      <c r="B742" t="s">
        <v>817</v>
      </c>
      <c r="C742">
        <v>122</v>
      </c>
      <c r="D742">
        <v>4</v>
      </c>
      <c r="E742">
        <v>488</v>
      </c>
      <c r="F742">
        <v>741</v>
      </c>
      <c r="G742">
        <v>81.5</v>
      </c>
      <c r="H742" t="s">
        <v>631</v>
      </c>
    </row>
    <row r="743" spans="1:8">
      <c r="A743">
        <v>290</v>
      </c>
      <c r="B743" t="s">
        <v>818</v>
      </c>
      <c r="C743">
        <v>81</v>
      </c>
      <c r="D743">
        <v>6</v>
      </c>
      <c r="E743">
        <v>486</v>
      </c>
      <c r="F743">
        <v>742</v>
      </c>
      <c r="G743">
        <v>81.5</v>
      </c>
      <c r="H743" t="s">
        <v>631</v>
      </c>
    </row>
    <row r="744" spans="1:8">
      <c r="A744">
        <v>306</v>
      </c>
      <c r="B744" t="s">
        <v>819</v>
      </c>
      <c r="C744">
        <v>81</v>
      </c>
      <c r="D744">
        <v>6</v>
      </c>
      <c r="E744">
        <v>486</v>
      </c>
      <c r="F744">
        <v>743</v>
      </c>
      <c r="G744">
        <v>81.599999999999994</v>
      </c>
      <c r="H744" t="s">
        <v>631</v>
      </c>
    </row>
    <row r="745" spans="1:8">
      <c r="A745">
        <v>381</v>
      </c>
      <c r="B745" t="s">
        <v>820</v>
      </c>
      <c r="C745">
        <v>81</v>
      </c>
      <c r="D745">
        <v>6</v>
      </c>
      <c r="E745">
        <v>486</v>
      </c>
      <c r="F745">
        <v>744</v>
      </c>
      <c r="G745">
        <v>81.599999999999994</v>
      </c>
      <c r="H745" t="s">
        <v>631</v>
      </c>
    </row>
    <row r="746" spans="1:8">
      <c r="A746">
        <v>388</v>
      </c>
      <c r="B746" t="s">
        <v>821</v>
      </c>
      <c r="C746">
        <v>81</v>
      </c>
      <c r="D746">
        <v>6</v>
      </c>
      <c r="E746">
        <v>486</v>
      </c>
      <c r="F746">
        <v>745</v>
      </c>
      <c r="G746">
        <v>81.7</v>
      </c>
      <c r="H746" t="s">
        <v>631</v>
      </c>
    </row>
    <row r="747" spans="1:8">
      <c r="A747">
        <v>428</v>
      </c>
      <c r="B747" t="s">
        <v>822</v>
      </c>
      <c r="C747">
        <v>81</v>
      </c>
      <c r="D747">
        <v>6</v>
      </c>
      <c r="E747">
        <v>486</v>
      </c>
      <c r="F747">
        <v>746</v>
      </c>
      <c r="G747">
        <v>81.7</v>
      </c>
      <c r="H747" t="s">
        <v>631</v>
      </c>
    </row>
    <row r="748" spans="1:8">
      <c r="A748">
        <v>1131</v>
      </c>
      <c r="B748" t="s">
        <v>823</v>
      </c>
      <c r="C748">
        <v>81</v>
      </c>
      <c r="D748">
        <v>6</v>
      </c>
      <c r="E748">
        <v>486</v>
      </c>
      <c r="F748">
        <v>747</v>
      </c>
      <c r="G748">
        <v>81.8</v>
      </c>
      <c r="H748" t="s">
        <v>631</v>
      </c>
    </row>
    <row r="749" spans="1:8">
      <c r="A749">
        <v>1479</v>
      </c>
      <c r="B749" t="s">
        <v>824</v>
      </c>
      <c r="C749">
        <v>162</v>
      </c>
      <c r="D749">
        <v>3</v>
      </c>
      <c r="E749">
        <v>486</v>
      </c>
      <c r="F749">
        <v>748</v>
      </c>
      <c r="G749">
        <v>81.8</v>
      </c>
      <c r="H749" t="s">
        <v>631</v>
      </c>
    </row>
    <row r="750" spans="1:8">
      <c r="A750">
        <v>2687</v>
      </c>
      <c r="B750" t="s">
        <v>825</v>
      </c>
      <c r="C750">
        <v>81</v>
      </c>
      <c r="D750">
        <v>6</v>
      </c>
      <c r="E750">
        <v>486</v>
      </c>
      <c r="F750">
        <v>749</v>
      </c>
      <c r="G750">
        <v>81.900000000000006</v>
      </c>
      <c r="H750" t="s">
        <v>631</v>
      </c>
    </row>
    <row r="751" spans="1:8">
      <c r="A751">
        <v>2693</v>
      </c>
      <c r="B751" t="s">
        <v>826</v>
      </c>
      <c r="C751">
        <v>81</v>
      </c>
      <c r="D751">
        <v>6</v>
      </c>
      <c r="E751">
        <v>486</v>
      </c>
      <c r="F751">
        <v>750</v>
      </c>
      <c r="G751">
        <v>81.900000000000006</v>
      </c>
      <c r="H751" t="s">
        <v>631</v>
      </c>
    </row>
    <row r="752" spans="1:8">
      <c r="A752">
        <v>2694</v>
      </c>
      <c r="B752" t="s">
        <v>827</v>
      </c>
      <c r="C752">
        <v>81</v>
      </c>
      <c r="D752">
        <v>6</v>
      </c>
      <c r="E752">
        <v>486</v>
      </c>
      <c r="F752">
        <v>751</v>
      </c>
      <c r="G752">
        <v>82</v>
      </c>
      <c r="H752" t="s">
        <v>631</v>
      </c>
    </row>
    <row r="753" spans="1:8">
      <c r="A753">
        <v>2931</v>
      </c>
      <c r="B753" t="s">
        <v>828</v>
      </c>
      <c r="C753">
        <v>81</v>
      </c>
      <c r="D753">
        <v>6</v>
      </c>
      <c r="E753">
        <v>486</v>
      </c>
      <c r="F753">
        <v>752</v>
      </c>
      <c r="G753">
        <v>82</v>
      </c>
      <c r="H753" t="s">
        <v>631</v>
      </c>
    </row>
    <row r="754" spans="1:8">
      <c r="A754">
        <v>2994</v>
      </c>
      <c r="B754" t="s">
        <v>829</v>
      </c>
      <c r="C754">
        <v>81</v>
      </c>
      <c r="D754">
        <v>6</v>
      </c>
      <c r="E754">
        <v>486</v>
      </c>
      <c r="F754">
        <v>753</v>
      </c>
      <c r="G754">
        <v>82.1</v>
      </c>
      <c r="H754" t="s">
        <v>631</v>
      </c>
    </row>
    <row r="755" spans="1:8">
      <c r="A755">
        <v>3547</v>
      </c>
      <c r="B755" t="s">
        <v>830</v>
      </c>
      <c r="C755">
        <v>81</v>
      </c>
      <c r="D755">
        <v>6</v>
      </c>
      <c r="E755">
        <v>486</v>
      </c>
      <c r="F755">
        <v>754</v>
      </c>
      <c r="G755">
        <v>82.1</v>
      </c>
      <c r="H755" t="s">
        <v>631</v>
      </c>
    </row>
    <row r="756" spans="1:8">
      <c r="A756">
        <v>1495</v>
      </c>
      <c r="B756" t="s">
        <v>831</v>
      </c>
      <c r="C756">
        <v>121</v>
      </c>
      <c r="D756">
        <v>4</v>
      </c>
      <c r="E756">
        <v>484</v>
      </c>
      <c r="F756">
        <v>755</v>
      </c>
      <c r="G756">
        <v>82.1</v>
      </c>
      <c r="H756" t="s">
        <v>631</v>
      </c>
    </row>
    <row r="757" spans="1:8">
      <c r="A757">
        <v>199</v>
      </c>
      <c r="B757" t="s">
        <v>832</v>
      </c>
      <c r="C757">
        <v>80</v>
      </c>
      <c r="D757">
        <v>6</v>
      </c>
      <c r="E757">
        <v>480</v>
      </c>
      <c r="F757">
        <v>756</v>
      </c>
      <c r="G757">
        <v>82.2</v>
      </c>
      <c r="H757" t="s">
        <v>631</v>
      </c>
    </row>
    <row r="758" spans="1:8">
      <c r="A758">
        <v>218</v>
      </c>
      <c r="B758" t="s">
        <v>833</v>
      </c>
      <c r="C758">
        <v>80</v>
      </c>
      <c r="D758">
        <v>6</v>
      </c>
      <c r="E758">
        <v>480</v>
      </c>
      <c r="F758">
        <v>757</v>
      </c>
      <c r="G758">
        <v>82.2</v>
      </c>
      <c r="H758" t="s">
        <v>631</v>
      </c>
    </row>
    <row r="759" spans="1:8">
      <c r="A759">
        <v>508</v>
      </c>
      <c r="B759" t="s">
        <v>834</v>
      </c>
      <c r="C759">
        <v>80</v>
      </c>
      <c r="D759">
        <v>6</v>
      </c>
      <c r="E759">
        <v>480</v>
      </c>
      <c r="F759">
        <v>758</v>
      </c>
      <c r="G759">
        <v>82.3</v>
      </c>
      <c r="H759" t="s">
        <v>631</v>
      </c>
    </row>
    <row r="760" spans="1:8">
      <c r="A760">
        <v>534</v>
      </c>
      <c r="B760" t="s">
        <v>835</v>
      </c>
      <c r="C760">
        <v>80</v>
      </c>
      <c r="D760">
        <v>6</v>
      </c>
      <c r="E760">
        <v>480</v>
      </c>
      <c r="F760">
        <v>759</v>
      </c>
      <c r="G760">
        <v>82.3</v>
      </c>
      <c r="H760" t="s">
        <v>631</v>
      </c>
    </row>
    <row r="761" spans="1:8">
      <c r="A761">
        <v>1164</v>
      </c>
      <c r="B761" t="s">
        <v>836</v>
      </c>
      <c r="C761">
        <v>80</v>
      </c>
      <c r="D761">
        <v>6</v>
      </c>
      <c r="E761">
        <v>480</v>
      </c>
      <c r="F761">
        <v>760</v>
      </c>
      <c r="G761">
        <v>82.4</v>
      </c>
      <c r="H761" t="s">
        <v>631</v>
      </c>
    </row>
    <row r="762" spans="1:8">
      <c r="A762">
        <v>2697</v>
      </c>
      <c r="B762" t="s">
        <v>837</v>
      </c>
      <c r="C762">
        <v>120</v>
      </c>
      <c r="D762">
        <v>4</v>
      </c>
      <c r="E762">
        <v>480</v>
      </c>
      <c r="F762">
        <v>761</v>
      </c>
      <c r="G762">
        <v>82.4</v>
      </c>
      <c r="H762" t="s">
        <v>631</v>
      </c>
    </row>
    <row r="763" spans="1:8">
      <c r="A763">
        <v>275</v>
      </c>
      <c r="B763" t="s">
        <v>838</v>
      </c>
      <c r="C763">
        <v>239</v>
      </c>
      <c r="D763">
        <v>2</v>
      </c>
      <c r="E763">
        <v>478</v>
      </c>
      <c r="F763">
        <v>762</v>
      </c>
      <c r="G763">
        <v>82.5</v>
      </c>
      <c r="H763" t="s">
        <v>631</v>
      </c>
    </row>
    <row r="764" spans="1:8">
      <c r="A764">
        <v>2558</v>
      </c>
      <c r="B764" t="s">
        <v>839</v>
      </c>
      <c r="C764">
        <v>239</v>
      </c>
      <c r="D764">
        <v>2</v>
      </c>
      <c r="E764">
        <v>478</v>
      </c>
      <c r="F764">
        <v>763</v>
      </c>
      <c r="G764">
        <v>82.5</v>
      </c>
      <c r="H764" t="s">
        <v>631</v>
      </c>
    </row>
    <row r="765" spans="1:8">
      <c r="A765">
        <v>47</v>
      </c>
      <c r="B765" t="s">
        <v>840</v>
      </c>
      <c r="C765">
        <v>159</v>
      </c>
      <c r="D765">
        <v>3</v>
      </c>
      <c r="E765">
        <v>477</v>
      </c>
      <c r="F765">
        <v>764</v>
      </c>
      <c r="G765">
        <v>82.6</v>
      </c>
      <c r="H765" t="s">
        <v>631</v>
      </c>
    </row>
    <row r="766" spans="1:8">
      <c r="A766">
        <v>391</v>
      </c>
      <c r="B766" t="s">
        <v>841</v>
      </c>
      <c r="C766">
        <v>95</v>
      </c>
      <c r="D766">
        <v>5</v>
      </c>
      <c r="E766">
        <v>475</v>
      </c>
      <c r="F766">
        <v>765</v>
      </c>
      <c r="G766">
        <v>82.6</v>
      </c>
      <c r="H766" t="s">
        <v>631</v>
      </c>
    </row>
    <row r="767" spans="1:8">
      <c r="A767">
        <v>1446</v>
      </c>
      <c r="B767" t="s">
        <v>842</v>
      </c>
      <c r="C767">
        <v>79</v>
      </c>
      <c r="D767">
        <v>6</v>
      </c>
      <c r="E767">
        <v>474</v>
      </c>
      <c r="F767">
        <v>766</v>
      </c>
      <c r="G767">
        <v>82.6</v>
      </c>
      <c r="H767" t="s">
        <v>631</v>
      </c>
    </row>
    <row r="768" spans="1:8">
      <c r="A768">
        <v>1617</v>
      </c>
      <c r="B768" t="s">
        <v>843</v>
      </c>
      <c r="C768">
        <v>79</v>
      </c>
      <c r="D768">
        <v>6</v>
      </c>
      <c r="E768">
        <v>474</v>
      </c>
      <c r="F768">
        <v>767</v>
      </c>
      <c r="G768">
        <v>82.7</v>
      </c>
      <c r="H768" t="s">
        <v>631</v>
      </c>
    </row>
    <row r="769" spans="1:8">
      <c r="A769">
        <v>2549</v>
      </c>
      <c r="B769" t="s">
        <v>844</v>
      </c>
      <c r="C769">
        <v>158</v>
      </c>
      <c r="D769">
        <v>3</v>
      </c>
      <c r="E769">
        <v>474</v>
      </c>
      <c r="F769">
        <v>768</v>
      </c>
      <c r="G769">
        <v>82.7</v>
      </c>
      <c r="H769" t="s">
        <v>631</v>
      </c>
    </row>
    <row r="770" spans="1:8">
      <c r="A770">
        <v>2807</v>
      </c>
      <c r="B770" t="s">
        <v>845</v>
      </c>
      <c r="C770">
        <v>79</v>
      </c>
      <c r="D770">
        <v>6</v>
      </c>
      <c r="E770">
        <v>474</v>
      </c>
      <c r="F770">
        <v>769</v>
      </c>
      <c r="G770">
        <v>82.8</v>
      </c>
      <c r="H770" t="s">
        <v>631</v>
      </c>
    </row>
    <row r="771" spans="1:8">
      <c r="A771">
        <v>2898</v>
      </c>
      <c r="B771" t="s">
        <v>846</v>
      </c>
      <c r="C771">
        <v>158</v>
      </c>
      <c r="D771">
        <v>3</v>
      </c>
      <c r="E771">
        <v>474</v>
      </c>
      <c r="F771">
        <v>770</v>
      </c>
      <c r="G771">
        <v>82.8</v>
      </c>
      <c r="H771" t="s">
        <v>631</v>
      </c>
    </row>
    <row r="772" spans="1:8">
      <c r="A772">
        <v>2786</v>
      </c>
      <c r="B772" t="s">
        <v>155</v>
      </c>
      <c r="C772">
        <v>157</v>
      </c>
      <c r="D772">
        <v>3</v>
      </c>
      <c r="E772">
        <v>471</v>
      </c>
      <c r="F772">
        <v>771</v>
      </c>
      <c r="G772">
        <v>82.9</v>
      </c>
      <c r="H772" t="s">
        <v>631</v>
      </c>
    </row>
    <row r="773" spans="1:8">
      <c r="A773">
        <v>216</v>
      </c>
      <c r="B773" t="s">
        <v>847</v>
      </c>
      <c r="C773">
        <v>78</v>
      </c>
      <c r="D773">
        <v>6</v>
      </c>
      <c r="E773">
        <v>468</v>
      </c>
      <c r="F773">
        <v>772</v>
      </c>
      <c r="G773">
        <v>82.9</v>
      </c>
      <c r="H773" t="s">
        <v>631</v>
      </c>
    </row>
    <row r="774" spans="1:8">
      <c r="A774">
        <v>2711</v>
      </c>
      <c r="B774" t="s">
        <v>848</v>
      </c>
      <c r="C774">
        <v>116</v>
      </c>
      <c r="D774">
        <v>4</v>
      </c>
      <c r="E774">
        <v>464</v>
      </c>
      <c r="F774">
        <v>773</v>
      </c>
      <c r="G774">
        <v>83</v>
      </c>
      <c r="H774" t="s">
        <v>631</v>
      </c>
    </row>
    <row r="775" spans="1:8">
      <c r="A775">
        <v>168</v>
      </c>
      <c r="B775" t="s">
        <v>849</v>
      </c>
      <c r="C775">
        <v>77</v>
      </c>
      <c r="D775">
        <v>6</v>
      </c>
      <c r="E775">
        <v>462</v>
      </c>
      <c r="F775">
        <v>774</v>
      </c>
      <c r="G775">
        <v>83</v>
      </c>
      <c r="H775" t="s">
        <v>631</v>
      </c>
    </row>
    <row r="776" spans="1:8">
      <c r="A776">
        <v>455</v>
      </c>
      <c r="B776" t="s">
        <v>850</v>
      </c>
      <c r="C776">
        <v>77</v>
      </c>
      <c r="D776">
        <v>6</v>
      </c>
      <c r="E776">
        <v>462</v>
      </c>
      <c r="F776">
        <v>775</v>
      </c>
      <c r="G776">
        <v>83</v>
      </c>
      <c r="H776" t="s">
        <v>631</v>
      </c>
    </row>
    <row r="777" spans="1:8">
      <c r="A777">
        <v>1629</v>
      </c>
      <c r="B777" t="s">
        <v>851</v>
      </c>
      <c r="C777">
        <v>77</v>
      </c>
      <c r="D777">
        <v>6</v>
      </c>
      <c r="E777">
        <v>462</v>
      </c>
      <c r="F777">
        <v>776</v>
      </c>
      <c r="G777">
        <v>83.1</v>
      </c>
      <c r="H777" t="s">
        <v>631</v>
      </c>
    </row>
    <row r="778" spans="1:8">
      <c r="A778">
        <v>3474</v>
      </c>
      <c r="B778" t="s">
        <v>852</v>
      </c>
      <c r="C778">
        <v>77</v>
      </c>
      <c r="D778">
        <v>6</v>
      </c>
      <c r="E778">
        <v>462</v>
      </c>
      <c r="F778">
        <v>777</v>
      </c>
      <c r="G778">
        <v>83.1</v>
      </c>
      <c r="H778" t="s">
        <v>631</v>
      </c>
    </row>
    <row r="779" spans="1:8">
      <c r="A779">
        <v>3648</v>
      </c>
      <c r="B779" t="s">
        <v>853</v>
      </c>
      <c r="C779">
        <v>77</v>
      </c>
      <c r="D779">
        <v>6</v>
      </c>
      <c r="E779">
        <v>462</v>
      </c>
      <c r="F779">
        <v>778</v>
      </c>
      <c r="G779">
        <v>83.2</v>
      </c>
      <c r="H779" t="s">
        <v>631</v>
      </c>
    </row>
    <row r="780" spans="1:8">
      <c r="A780">
        <v>480</v>
      </c>
      <c r="B780" t="s">
        <v>854</v>
      </c>
      <c r="C780">
        <v>115</v>
      </c>
      <c r="D780">
        <v>4</v>
      </c>
      <c r="E780">
        <v>460</v>
      </c>
      <c r="F780">
        <v>779</v>
      </c>
      <c r="G780">
        <v>83.2</v>
      </c>
      <c r="H780" t="s">
        <v>631</v>
      </c>
    </row>
    <row r="781" spans="1:8">
      <c r="A781">
        <v>2988</v>
      </c>
      <c r="B781" t="s">
        <v>149</v>
      </c>
      <c r="C781">
        <v>115</v>
      </c>
      <c r="D781">
        <v>4</v>
      </c>
      <c r="E781">
        <v>460</v>
      </c>
      <c r="F781">
        <v>780</v>
      </c>
      <c r="G781">
        <v>83.3</v>
      </c>
      <c r="H781" t="s">
        <v>631</v>
      </c>
    </row>
    <row r="782" spans="1:8">
      <c r="A782">
        <v>1571</v>
      </c>
      <c r="B782" t="s">
        <v>855</v>
      </c>
      <c r="C782">
        <v>76</v>
      </c>
      <c r="D782">
        <v>6</v>
      </c>
      <c r="E782">
        <v>456</v>
      </c>
      <c r="F782">
        <v>781</v>
      </c>
      <c r="G782">
        <v>83.3</v>
      </c>
      <c r="H782" t="s">
        <v>631</v>
      </c>
    </row>
    <row r="783" spans="1:8">
      <c r="A783">
        <v>1601</v>
      </c>
      <c r="B783" t="s">
        <v>856</v>
      </c>
      <c r="C783">
        <v>91</v>
      </c>
      <c r="D783">
        <v>5</v>
      </c>
      <c r="E783">
        <v>455</v>
      </c>
      <c r="F783">
        <v>782</v>
      </c>
      <c r="G783">
        <v>83.3</v>
      </c>
      <c r="H783" t="s">
        <v>631</v>
      </c>
    </row>
    <row r="784" spans="1:8">
      <c r="A784">
        <v>152</v>
      </c>
      <c r="B784" t="s">
        <v>857</v>
      </c>
      <c r="C784">
        <v>75</v>
      </c>
      <c r="D784">
        <v>6</v>
      </c>
      <c r="E784">
        <v>450</v>
      </c>
      <c r="F784">
        <v>783</v>
      </c>
      <c r="G784">
        <v>83.4</v>
      </c>
      <c r="H784" t="s">
        <v>631</v>
      </c>
    </row>
    <row r="785" spans="1:8">
      <c r="A785">
        <v>292</v>
      </c>
      <c r="B785" t="s">
        <v>858</v>
      </c>
      <c r="C785">
        <v>90</v>
      </c>
      <c r="D785">
        <v>5</v>
      </c>
      <c r="E785">
        <v>450</v>
      </c>
      <c r="F785">
        <v>784</v>
      </c>
      <c r="G785">
        <v>83.4</v>
      </c>
      <c r="H785" t="s">
        <v>631</v>
      </c>
    </row>
    <row r="786" spans="1:8">
      <c r="A786">
        <v>458</v>
      </c>
      <c r="B786" t="s">
        <v>859</v>
      </c>
      <c r="C786">
        <v>75</v>
      </c>
      <c r="D786">
        <v>6</v>
      </c>
      <c r="E786">
        <v>450</v>
      </c>
      <c r="F786">
        <v>785</v>
      </c>
      <c r="G786">
        <v>83.5</v>
      </c>
      <c r="H786" t="s">
        <v>631</v>
      </c>
    </row>
    <row r="787" spans="1:8">
      <c r="A787">
        <v>1603</v>
      </c>
      <c r="B787" t="s">
        <v>860</v>
      </c>
      <c r="C787">
        <v>150</v>
      </c>
      <c r="D787">
        <v>3</v>
      </c>
      <c r="E787">
        <v>450</v>
      </c>
      <c r="F787">
        <v>786</v>
      </c>
      <c r="G787">
        <v>83.5</v>
      </c>
      <c r="H787" t="s">
        <v>631</v>
      </c>
    </row>
    <row r="788" spans="1:8">
      <c r="A788">
        <v>1655</v>
      </c>
      <c r="B788" t="s">
        <v>174</v>
      </c>
      <c r="C788">
        <v>75</v>
      </c>
      <c r="D788">
        <v>6</v>
      </c>
      <c r="E788">
        <v>450</v>
      </c>
      <c r="F788">
        <v>787</v>
      </c>
      <c r="G788">
        <v>83.6</v>
      </c>
      <c r="H788" t="s">
        <v>631</v>
      </c>
    </row>
    <row r="789" spans="1:8">
      <c r="A789">
        <v>1684</v>
      </c>
      <c r="B789" t="s">
        <v>861</v>
      </c>
      <c r="C789">
        <v>75</v>
      </c>
      <c r="D789">
        <v>6</v>
      </c>
      <c r="E789">
        <v>450</v>
      </c>
      <c r="F789">
        <v>788</v>
      </c>
      <c r="G789">
        <v>83.6</v>
      </c>
      <c r="H789" t="s">
        <v>631</v>
      </c>
    </row>
    <row r="790" spans="1:8">
      <c r="A790">
        <v>2767</v>
      </c>
      <c r="B790" t="s">
        <v>862</v>
      </c>
      <c r="C790">
        <v>75</v>
      </c>
      <c r="D790">
        <v>6</v>
      </c>
      <c r="E790">
        <v>450</v>
      </c>
      <c r="F790">
        <v>789</v>
      </c>
      <c r="G790">
        <v>83.6</v>
      </c>
      <c r="H790" t="s">
        <v>631</v>
      </c>
    </row>
    <row r="791" spans="1:8">
      <c r="A791">
        <v>2797</v>
      </c>
      <c r="B791" t="s">
        <v>863</v>
      </c>
      <c r="C791">
        <v>90</v>
      </c>
      <c r="D791">
        <v>5</v>
      </c>
      <c r="E791">
        <v>450</v>
      </c>
      <c r="F791">
        <v>790</v>
      </c>
      <c r="G791">
        <v>83.7</v>
      </c>
      <c r="H791" t="s">
        <v>631</v>
      </c>
    </row>
    <row r="792" spans="1:8">
      <c r="A792">
        <v>2819</v>
      </c>
      <c r="B792" t="s">
        <v>864</v>
      </c>
      <c r="C792">
        <v>75</v>
      </c>
      <c r="D792">
        <v>6</v>
      </c>
      <c r="E792">
        <v>450</v>
      </c>
      <c r="F792">
        <v>791</v>
      </c>
      <c r="G792">
        <v>83.7</v>
      </c>
      <c r="H792" t="s">
        <v>631</v>
      </c>
    </row>
    <row r="793" spans="1:8">
      <c r="A793">
        <v>2891</v>
      </c>
      <c r="B793" t="s">
        <v>865</v>
      </c>
      <c r="C793">
        <v>75</v>
      </c>
      <c r="D793">
        <v>6</v>
      </c>
      <c r="E793">
        <v>450</v>
      </c>
      <c r="F793">
        <v>792</v>
      </c>
      <c r="G793">
        <v>83.8</v>
      </c>
      <c r="H793" t="s">
        <v>631</v>
      </c>
    </row>
    <row r="794" spans="1:8">
      <c r="A794">
        <v>3042</v>
      </c>
      <c r="B794" t="s">
        <v>866</v>
      </c>
      <c r="C794">
        <v>75</v>
      </c>
      <c r="D794">
        <v>6</v>
      </c>
      <c r="E794">
        <v>450</v>
      </c>
      <c r="F794">
        <v>793</v>
      </c>
      <c r="G794">
        <v>83.8</v>
      </c>
      <c r="H794" t="s">
        <v>631</v>
      </c>
    </row>
    <row r="795" spans="1:8">
      <c r="A795">
        <v>1573</v>
      </c>
      <c r="B795" t="s">
        <v>867</v>
      </c>
      <c r="C795">
        <v>112</v>
      </c>
      <c r="D795">
        <v>4</v>
      </c>
      <c r="E795">
        <v>448</v>
      </c>
      <c r="F795">
        <v>794</v>
      </c>
      <c r="G795">
        <v>83.9</v>
      </c>
      <c r="H795" t="s">
        <v>631</v>
      </c>
    </row>
    <row r="796" spans="1:8">
      <c r="A796">
        <v>44</v>
      </c>
      <c r="B796" t="s">
        <v>868</v>
      </c>
      <c r="C796">
        <v>149</v>
      </c>
      <c r="D796">
        <v>3</v>
      </c>
      <c r="E796">
        <v>447</v>
      </c>
      <c r="F796">
        <v>795</v>
      </c>
      <c r="G796">
        <v>83.9</v>
      </c>
      <c r="H796" t="s">
        <v>631</v>
      </c>
    </row>
    <row r="797" spans="1:8">
      <c r="A797">
        <v>78</v>
      </c>
      <c r="B797" t="s">
        <v>869</v>
      </c>
      <c r="C797">
        <v>149</v>
      </c>
      <c r="D797">
        <v>3</v>
      </c>
      <c r="E797">
        <v>447</v>
      </c>
      <c r="F797">
        <v>796</v>
      </c>
      <c r="G797">
        <v>83.9</v>
      </c>
      <c r="H797" t="s">
        <v>631</v>
      </c>
    </row>
    <row r="798" spans="1:8">
      <c r="A798">
        <v>194</v>
      </c>
      <c r="B798" t="s">
        <v>870</v>
      </c>
      <c r="C798">
        <v>89</v>
      </c>
      <c r="D798">
        <v>5</v>
      </c>
      <c r="E798">
        <v>445</v>
      </c>
      <c r="F798">
        <v>797</v>
      </c>
      <c r="G798">
        <v>84</v>
      </c>
      <c r="H798" t="s">
        <v>631</v>
      </c>
    </row>
    <row r="799" spans="1:8">
      <c r="A799">
        <v>382</v>
      </c>
      <c r="B799" t="s">
        <v>871</v>
      </c>
      <c r="C799">
        <v>89</v>
      </c>
      <c r="D799">
        <v>5</v>
      </c>
      <c r="E799">
        <v>445</v>
      </c>
      <c r="F799">
        <v>798</v>
      </c>
      <c r="G799">
        <v>84</v>
      </c>
      <c r="H799" t="s">
        <v>631</v>
      </c>
    </row>
    <row r="800" spans="1:8">
      <c r="A800">
        <v>1511</v>
      </c>
      <c r="B800" t="s">
        <v>99</v>
      </c>
      <c r="C800">
        <v>89</v>
      </c>
      <c r="D800">
        <v>5</v>
      </c>
      <c r="E800">
        <v>445</v>
      </c>
      <c r="F800">
        <v>799</v>
      </c>
      <c r="G800">
        <v>84.1</v>
      </c>
      <c r="H800" t="s">
        <v>631</v>
      </c>
    </row>
    <row r="801" spans="1:8">
      <c r="A801">
        <v>1473</v>
      </c>
      <c r="B801" t="s">
        <v>872</v>
      </c>
      <c r="C801">
        <v>74</v>
      </c>
      <c r="D801">
        <v>6</v>
      </c>
      <c r="E801">
        <v>444</v>
      </c>
      <c r="F801">
        <v>800</v>
      </c>
      <c r="G801">
        <v>84.1</v>
      </c>
      <c r="H801" t="s">
        <v>631</v>
      </c>
    </row>
    <row r="802" spans="1:8">
      <c r="A802">
        <v>1492</v>
      </c>
      <c r="B802" t="s">
        <v>873</v>
      </c>
      <c r="C802">
        <v>74</v>
      </c>
      <c r="D802">
        <v>6</v>
      </c>
      <c r="E802">
        <v>444</v>
      </c>
      <c r="F802">
        <v>801</v>
      </c>
      <c r="G802">
        <v>84.2</v>
      </c>
      <c r="H802" t="s">
        <v>631</v>
      </c>
    </row>
    <row r="803" spans="1:8">
      <c r="A803">
        <v>2805</v>
      </c>
      <c r="B803" t="s">
        <v>874</v>
      </c>
      <c r="C803">
        <v>74</v>
      </c>
      <c r="D803">
        <v>6</v>
      </c>
      <c r="E803">
        <v>444</v>
      </c>
      <c r="F803">
        <v>802</v>
      </c>
      <c r="G803">
        <v>84.2</v>
      </c>
      <c r="H803" t="s">
        <v>631</v>
      </c>
    </row>
    <row r="804" spans="1:8">
      <c r="A804">
        <v>2806</v>
      </c>
      <c r="B804" t="s">
        <v>177</v>
      </c>
      <c r="C804">
        <v>74</v>
      </c>
      <c r="D804">
        <v>6</v>
      </c>
      <c r="E804">
        <v>444</v>
      </c>
      <c r="F804">
        <v>803</v>
      </c>
      <c r="G804">
        <v>84.2</v>
      </c>
      <c r="H804" t="s">
        <v>631</v>
      </c>
    </row>
    <row r="805" spans="1:8">
      <c r="A805">
        <v>3466</v>
      </c>
      <c r="B805" t="s">
        <v>875</v>
      </c>
      <c r="C805">
        <v>74</v>
      </c>
      <c r="D805">
        <v>6</v>
      </c>
      <c r="E805">
        <v>444</v>
      </c>
      <c r="F805">
        <v>804</v>
      </c>
      <c r="G805">
        <v>84.3</v>
      </c>
      <c r="H805" t="s">
        <v>631</v>
      </c>
    </row>
    <row r="806" spans="1:8">
      <c r="A806">
        <v>2568</v>
      </c>
      <c r="B806" t="s">
        <v>876</v>
      </c>
      <c r="C806">
        <v>221</v>
      </c>
      <c r="D806">
        <v>2</v>
      </c>
      <c r="E806">
        <v>442</v>
      </c>
      <c r="F806">
        <v>805</v>
      </c>
      <c r="G806">
        <v>84.3</v>
      </c>
      <c r="H806" t="s">
        <v>631</v>
      </c>
    </row>
    <row r="807" spans="1:8">
      <c r="A807">
        <v>2586</v>
      </c>
      <c r="B807" t="s">
        <v>877</v>
      </c>
      <c r="C807">
        <v>442</v>
      </c>
      <c r="D807">
        <v>1</v>
      </c>
      <c r="E807">
        <v>442</v>
      </c>
      <c r="F807">
        <v>806</v>
      </c>
      <c r="G807">
        <v>84.4</v>
      </c>
      <c r="H807" t="s">
        <v>631</v>
      </c>
    </row>
    <row r="808" spans="1:8">
      <c r="A808">
        <v>2976</v>
      </c>
      <c r="B808" t="s">
        <v>878</v>
      </c>
      <c r="C808">
        <v>221</v>
      </c>
      <c r="D808">
        <v>2</v>
      </c>
      <c r="E808">
        <v>442</v>
      </c>
      <c r="F808">
        <v>807</v>
      </c>
      <c r="G808">
        <v>84.4</v>
      </c>
      <c r="H808" t="s">
        <v>631</v>
      </c>
    </row>
    <row r="809" spans="1:8">
      <c r="A809">
        <v>189</v>
      </c>
      <c r="B809" t="s">
        <v>879</v>
      </c>
      <c r="C809">
        <v>88</v>
      </c>
      <c r="D809">
        <v>5</v>
      </c>
      <c r="E809">
        <v>440</v>
      </c>
      <c r="F809">
        <v>808</v>
      </c>
      <c r="G809">
        <v>84.4</v>
      </c>
      <c r="H809" t="s">
        <v>631</v>
      </c>
    </row>
    <row r="810" spans="1:8">
      <c r="A810">
        <v>1697</v>
      </c>
      <c r="B810" t="s">
        <v>880</v>
      </c>
      <c r="C810">
        <v>110</v>
      </c>
      <c r="D810">
        <v>4</v>
      </c>
      <c r="E810">
        <v>440</v>
      </c>
      <c r="F810">
        <v>809</v>
      </c>
      <c r="G810">
        <v>84.5</v>
      </c>
      <c r="H810" t="s">
        <v>631</v>
      </c>
    </row>
    <row r="811" spans="1:8">
      <c r="A811">
        <v>3670</v>
      </c>
      <c r="B811" t="s">
        <v>881</v>
      </c>
      <c r="C811">
        <v>220</v>
      </c>
      <c r="D811">
        <v>2</v>
      </c>
      <c r="E811">
        <v>440</v>
      </c>
      <c r="F811">
        <v>810</v>
      </c>
      <c r="G811">
        <v>84.5</v>
      </c>
      <c r="H811" t="s">
        <v>631</v>
      </c>
    </row>
    <row r="812" spans="1:8">
      <c r="A812">
        <v>1139</v>
      </c>
      <c r="B812" t="s">
        <v>882</v>
      </c>
      <c r="C812">
        <v>73</v>
      </c>
      <c r="D812">
        <v>6</v>
      </c>
      <c r="E812">
        <v>438</v>
      </c>
      <c r="F812">
        <v>811</v>
      </c>
      <c r="G812">
        <v>84.6</v>
      </c>
      <c r="H812" t="s">
        <v>631</v>
      </c>
    </row>
    <row r="813" spans="1:8">
      <c r="A813">
        <v>1533</v>
      </c>
      <c r="B813" t="s">
        <v>159</v>
      </c>
      <c r="C813">
        <v>109</v>
      </c>
      <c r="D813">
        <v>4</v>
      </c>
      <c r="E813">
        <v>436</v>
      </c>
      <c r="F813">
        <v>812</v>
      </c>
      <c r="G813">
        <v>84.6</v>
      </c>
      <c r="H813" t="s">
        <v>631</v>
      </c>
    </row>
    <row r="814" spans="1:8">
      <c r="A814">
        <v>2904</v>
      </c>
      <c r="B814" t="s">
        <v>135</v>
      </c>
      <c r="C814">
        <v>145</v>
      </c>
      <c r="D814">
        <v>3</v>
      </c>
      <c r="E814">
        <v>435</v>
      </c>
      <c r="F814">
        <v>813</v>
      </c>
      <c r="G814">
        <v>84.7</v>
      </c>
      <c r="H814" t="s">
        <v>631</v>
      </c>
    </row>
    <row r="815" spans="1:8">
      <c r="A815">
        <v>209</v>
      </c>
      <c r="B815" t="s">
        <v>883</v>
      </c>
      <c r="C815">
        <v>72</v>
      </c>
      <c r="D815">
        <v>6</v>
      </c>
      <c r="E815">
        <v>432</v>
      </c>
      <c r="F815">
        <v>814</v>
      </c>
      <c r="G815">
        <v>84.7</v>
      </c>
      <c r="H815" t="s">
        <v>631</v>
      </c>
    </row>
    <row r="816" spans="1:8">
      <c r="A816">
        <v>249</v>
      </c>
      <c r="B816" t="s">
        <v>128</v>
      </c>
      <c r="C816">
        <v>72</v>
      </c>
      <c r="D816">
        <v>6</v>
      </c>
      <c r="E816">
        <v>432</v>
      </c>
      <c r="F816">
        <v>815</v>
      </c>
      <c r="G816">
        <v>84.7</v>
      </c>
      <c r="H816" t="s">
        <v>631</v>
      </c>
    </row>
    <row r="817" spans="1:8">
      <c r="A817">
        <v>333</v>
      </c>
      <c r="B817" t="s">
        <v>884</v>
      </c>
      <c r="C817">
        <v>144</v>
      </c>
      <c r="D817">
        <v>3</v>
      </c>
      <c r="E817">
        <v>432</v>
      </c>
      <c r="F817">
        <v>816</v>
      </c>
      <c r="G817">
        <v>84.8</v>
      </c>
      <c r="H817" t="s">
        <v>631</v>
      </c>
    </row>
    <row r="818" spans="1:8">
      <c r="A818">
        <v>408</v>
      </c>
      <c r="B818" t="s">
        <v>885</v>
      </c>
      <c r="C818">
        <v>72</v>
      </c>
      <c r="D818">
        <v>6</v>
      </c>
      <c r="E818">
        <v>432</v>
      </c>
      <c r="F818">
        <v>817</v>
      </c>
      <c r="G818">
        <v>84.8</v>
      </c>
      <c r="H818" t="s">
        <v>631</v>
      </c>
    </row>
    <row r="819" spans="1:8">
      <c r="A819">
        <v>488</v>
      </c>
      <c r="B819" t="s">
        <v>886</v>
      </c>
      <c r="C819">
        <v>72</v>
      </c>
      <c r="D819">
        <v>6</v>
      </c>
      <c r="E819">
        <v>432</v>
      </c>
      <c r="F819">
        <v>818</v>
      </c>
      <c r="G819">
        <v>84.9</v>
      </c>
      <c r="H819" t="s">
        <v>631</v>
      </c>
    </row>
    <row r="820" spans="1:8">
      <c r="A820">
        <v>1562</v>
      </c>
      <c r="B820" t="s">
        <v>887</v>
      </c>
      <c r="C820">
        <v>72</v>
      </c>
      <c r="D820">
        <v>6</v>
      </c>
      <c r="E820">
        <v>432</v>
      </c>
      <c r="F820">
        <v>819</v>
      </c>
      <c r="G820">
        <v>84.9</v>
      </c>
      <c r="H820" t="s">
        <v>631</v>
      </c>
    </row>
    <row r="821" spans="1:8">
      <c r="A821">
        <v>1620</v>
      </c>
      <c r="B821" t="s">
        <v>888</v>
      </c>
      <c r="C821">
        <v>108</v>
      </c>
      <c r="D821">
        <v>4</v>
      </c>
      <c r="E821">
        <v>432</v>
      </c>
      <c r="F821">
        <v>820</v>
      </c>
      <c r="G821">
        <v>84.9</v>
      </c>
      <c r="H821" t="s">
        <v>631</v>
      </c>
    </row>
    <row r="822" spans="1:8">
      <c r="A822">
        <v>2700</v>
      </c>
      <c r="B822" t="s">
        <v>889</v>
      </c>
      <c r="C822">
        <v>72</v>
      </c>
      <c r="D822">
        <v>6</v>
      </c>
      <c r="E822">
        <v>432</v>
      </c>
      <c r="F822">
        <v>821</v>
      </c>
      <c r="G822">
        <v>85</v>
      </c>
      <c r="H822" t="s">
        <v>631</v>
      </c>
    </row>
    <row r="823" spans="1:8">
      <c r="A823">
        <v>2845</v>
      </c>
      <c r="B823" t="s">
        <v>890</v>
      </c>
      <c r="C823">
        <v>108</v>
      </c>
      <c r="D823">
        <v>4</v>
      </c>
      <c r="E823">
        <v>432</v>
      </c>
      <c r="F823">
        <v>822</v>
      </c>
      <c r="G823">
        <v>85</v>
      </c>
      <c r="H823" t="s">
        <v>631</v>
      </c>
    </row>
    <row r="824" spans="1:8">
      <c r="A824">
        <v>3580</v>
      </c>
      <c r="B824" t="s">
        <v>891</v>
      </c>
      <c r="C824">
        <v>72</v>
      </c>
      <c r="D824">
        <v>6</v>
      </c>
      <c r="E824">
        <v>432</v>
      </c>
      <c r="F824">
        <v>823</v>
      </c>
      <c r="G824">
        <v>85.1</v>
      </c>
      <c r="H824" t="s">
        <v>631</v>
      </c>
    </row>
    <row r="825" spans="1:8">
      <c r="A825">
        <v>3497</v>
      </c>
      <c r="B825" t="s">
        <v>892</v>
      </c>
      <c r="C825">
        <v>107</v>
      </c>
      <c r="D825">
        <v>4</v>
      </c>
      <c r="E825">
        <v>428</v>
      </c>
      <c r="F825">
        <v>824</v>
      </c>
      <c r="G825">
        <v>85.1</v>
      </c>
      <c r="H825" t="s">
        <v>631</v>
      </c>
    </row>
    <row r="826" spans="1:8">
      <c r="A826">
        <v>260</v>
      </c>
      <c r="B826" t="s">
        <v>893</v>
      </c>
      <c r="C826">
        <v>71</v>
      </c>
      <c r="D826">
        <v>6</v>
      </c>
      <c r="E826">
        <v>426</v>
      </c>
      <c r="F826">
        <v>825</v>
      </c>
      <c r="G826">
        <v>85.1</v>
      </c>
      <c r="H826" t="s">
        <v>631</v>
      </c>
    </row>
    <row r="827" spans="1:8">
      <c r="A827">
        <v>2959</v>
      </c>
      <c r="B827" t="s">
        <v>894</v>
      </c>
      <c r="C827">
        <v>71</v>
      </c>
      <c r="D827">
        <v>6</v>
      </c>
      <c r="E827">
        <v>426</v>
      </c>
      <c r="F827">
        <v>826</v>
      </c>
      <c r="G827">
        <v>85.2</v>
      </c>
      <c r="H827" t="s">
        <v>631</v>
      </c>
    </row>
    <row r="828" spans="1:8">
      <c r="A828">
        <v>3070</v>
      </c>
      <c r="B828" t="s">
        <v>895</v>
      </c>
      <c r="C828">
        <v>71</v>
      </c>
      <c r="D828">
        <v>6</v>
      </c>
      <c r="E828">
        <v>426</v>
      </c>
      <c r="F828">
        <v>827</v>
      </c>
      <c r="G828">
        <v>85.2</v>
      </c>
      <c r="H828" t="s">
        <v>631</v>
      </c>
    </row>
    <row r="829" spans="1:8">
      <c r="A829">
        <v>3598</v>
      </c>
      <c r="B829" t="s">
        <v>896</v>
      </c>
      <c r="C829">
        <v>71</v>
      </c>
      <c r="D829">
        <v>6</v>
      </c>
      <c r="E829">
        <v>426</v>
      </c>
      <c r="F829">
        <v>828</v>
      </c>
      <c r="G829">
        <v>85.3</v>
      </c>
      <c r="H829" t="s">
        <v>631</v>
      </c>
    </row>
    <row r="830" spans="1:8">
      <c r="A830">
        <v>3698</v>
      </c>
      <c r="B830" t="s">
        <v>897</v>
      </c>
      <c r="C830">
        <v>71</v>
      </c>
      <c r="D830">
        <v>6</v>
      </c>
      <c r="E830">
        <v>426</v>
      </c>
      <c r="F830">
        <v>829</v>
      </c>
      <c r="G830">
        <v>85.3</v>
      </c>
      <c r="H830" t="s">
        <v>631</v>
      </c>
    </row>
    <row r="831" spans="1:8">
      <c r="A831">
        <v>2968</v>
      </c>
      <c r="B831" t="s">
        <v>898</v>
      </c>
      <c r="C831">
        <v>85</v>
      </c>
      <c r="D831">
        <v>5</v>
      </c>
      <c r="E831">
        <v>425</v>
      </c>
      <c r="F831">
        <v>830</v>
      </c>
      <c r="G831">
        <v>85.3</v>
      </c>
      <c r="H831" t="s">
        <v>631</v>
      </c>
    </row>
    <row r="832" spans="1:8">
      <c r="A832">
        <v>2982</v>
      </c>
      <c r="B832" t="s">
        <v>899</v>
      </c>
      <c r="C832">
        <v>85</v>
      </c>
      <c r="D832">
        <v>5</v>
      </c>
      <c r="E832">
        <v>425</v>
      </c>
      <c r="F832">
        <v>831</v>
      </c>
      <c r="G832">
        <v>85.4</v>
      </c>
      <c r="H832" t="s">
        <v>631</v>
      </c>
    </row>
    <row r="833" spans="1:8">
      <c r="A833">
        <v>3700</v>
      </c>
      <c r="B833" t="s">
        <v>900</v>
      </c>
      <c r="C833">
        <v>85</v>
      </c>
      <c r="D833">
        <v>5</v>
      </c>
      <c r="E833">
        <v>425</v>
      </c>
      <c r="F833">
        <v>832</v>
      </c>
      <c r="G833">
        <v>85.4</v>
      </c>
      <c r="H833" t="s">
        <v>631</v>
      </c>
    </row>
    <row r="834" spans="1:8">
      <c r="A834">
        <v>1498</v>
      </c>
      <c r="B834" t="s">
        <v>901</v>
      </c>
      <c r="C834">
        <v>106</v>
      </c>
      <c r="D834">
        <v>4</v>
      </c>
      <c r="E834">
        <v>424</v>
      </c>
      <c r="F834">
        <v>833</v>
      </c>
      <c r="G834">
        <v>85.5</v>
      </c>
      <c r="H834" t="s">
        <v>631</v>
      </c>
    </row>
    <row r="835" spans="1:8">
      <c r="A835">
        <v>515</v>
      </c>
      <c r="B835" t="s">
        <v>902</v>
      </c>
      <c r="C835">
        <v>70</v>
      </c>
      <c r="D835">
        <v>6</v>
      </c>
      <c r="E835">
        <v>420</v>
      </c>
      <c r="F835">
        <v>834</v>
      </c>
      <c r="G835">
        <v>85.5</v>
      </c>
      <c r="H835" t="s">
        <v>631</v>
      </c>
    </row>
    <row r="836" spans="1:8">
      <c r="A836">
        <v>525</v>
      </c>
      <c r="B836" t="s">
        <v>903</v>
      </c>
      <c r="C836">
        <v>70</v>
      </c>
      <c r="D836">
        <v>6</v>
      </c>
      <c r="E836">
        <v>420</v>
      </c>
      <c r="F836">
        <v>835</v>
      </c>
      <c r="G836">
        <v>85.5</v>
      </c>
      <c r="H836" t="s">
        <v>631</v>
      </c>
    </row>
    <row r="837" spans="1:8">
      <c r="A837">
        <v>1383</v>
      </c>
      <c r="B837" t="s">
        <v>904</v>
      </c>
      <c r="C837">
        <v>70</v>
      </c>
      <c r="D837">
        <v>6</v>
      </c>
      <c r="E837">
        <v>420</v>
      </c>
      <c r="F837">
        <v>836</v>
      </c>
      <c r="G837">
        <v>85.6</v>
      </c>
      <c r="H837" t="s">
        <v>631</v>
      </c>
    </row>
    <row r="838" spans="1:8">
      <c r="A838">
        <v>1646</v>
      </c>
      <c r="B838" t="s">
        <v>905</v>
      </c>
      <c r="C838">
        <v>105</v>
      </c>
      <c r="D838">
        <v>4</v>
      </c>
      <c r="E838">
        <v>420</v>
      </c>
      <c r="F838">
        <v>837</v>
      </c>
      <c r="G838">
        <v>85.6</v>
      </c>
      <c r="H838" t="s">
        <v>631</v>
      </c>
    </row>
    <row r="839" spans="1:8">
      <c r="A839">
        <v>1722</v>
      </c>
      <c r="B839" t="s">
        <v>142</v>
      </c>
      <c r="C839">
        <v>105</v>
      </c>
      <c r="D839">
        <v>4</v>
      </c>
      <c r="E839">
        <v>420</v>
      </c>
      <c r="F839">
        <v>838</v>
      </c>
      <c r="G839">
        <v>85.7</v>
      </c>
      <c r="H839" t="s">
        <v>631</v>
      </c>
    </row>
    <row r="840" spans="1:8">
      <c r="A840">
        <v>2689</v>
      </c>
      <c r="B840" t="s">
        <v>906</v>
      </c>
      <c r="C840">
        <v>70</v>
      </c>
      <c r="D840">
        <v>6</v>
      </c>
      <c r="E840">
        <v>420</v>
      </c>
      <c r="F840">
        <v>839</v>
      </c>
      <c r="G840">
        <v>85.7</v>
      </c>
      <c r="H840" t="s">
        <v>631</v>
      </c>
    </row>
    <row r="841" spans="1:8">
      <c r="A841">
        <v>2893</v>
      </c>
      <c r="B841" t="s">
        <v>119</v>
      </c>
      <c r="C841">
        <v>70</v>
      </c>
      <c r="D841">
        <v>6</v>
      </c>
      <c r="E841">
        <v>420</v>
      </c>
      <c r="F841">
        <v>840</v>
      </c>
      <c r="G841">
        <v>85.7</v>
      </c>
      <c r="H841" t="s">
        <v>631</v>
      </c>
    </row>
    <row r="842" spans="1:8">
      <c r="A842">
        <v>2900</v>
      </c>
      <c r="B842" t="s">
        <v>907</v>
      </c>
      <c r="C842">
        <v>140</v>
      </c>
      <c r="D842">
        <v>3</v>
      </c>
      <c r="E842">
        <v>420</v>
      </c>
      <c r="F842">
        <v>841</v>
      </c>
      <c r="G842">
        <v>85.8</v>
      </c>
      <c r="H842" t="s">
        <v>631</v>
      </c>
    </row>
    <row r="843" spans="1:8">
      <c r="A843">
        <v>2991</v>
      </c>
      <c r="B843" t="s">
        <v>908</v>
      </c>
      <c r="C843">
        <v>105</v>
      </c>
      <c r="D843">
        <v>4</v>
      </c>
      <c r="E843">
        <v>420</v>
      </c>
      <c r="F843">
        <v>842</v>
      </c>
      <c r="G843">
        <v>85.8</v>
      </c>
      <c r="H843" t="s">
        <v>631</v>
      </c>
    </row>
    <row r="844" spans="1:8">
      <c r="A844">
        <v>3594</v>
      </c>
      <c r="B844" t="s">
        <v>909</v>
      </c>
      <c r="C844">
        <v>70</v>
      </c>
      <c r="D844">
        <v>6</v>
      </c>
      <c r="E844">
        <v>420</v>
      </c>
      <c r="F844">
        <v>843</v>
      </c>
      <c r="G844">
        <v>85.9</v>
      </c>
      <c r="H844" t="s">
        <v>631</v>
      </c>
    </row>
    <row r="845" spans="1:8">
      <c r="A845">
        <v>3595</v>
      </c>
      <c r="B845" t="s">
        <v>910</v>
      </c>
      <c r="C845">
        <v>70</v>
      </c>
      <c r="D845">
        <v>6</v>
      </c>
      <c r="E845">
        <v>420</v>
      </c>
      <c r="F845">
        <v>844</v>
      </c>
      <c r="G845">
        <v>85.9</v>
      </c>
      <c r="H845" t="s">
        <v>631</v>
      </c>
    </row>
    <row r="846" spans="1:8">
      <c r="A846">
        <v>1412</v>
      </c>
      <c r="B846" t="s">
        <v>911</v>
      </c>
      <c r="C846">
        <v>207</v>
      </c>
      <c r="D846">
        <v>2</v>
      </c>
      <c r="E846">
        <v>414</v>
      </c>
      <c r="F846">
        <v>845</v>
      </c>
      <c r="G846">
        <v>85.9</v>
      </c>
      <c r="H846" t="s">
        <v>631</v>
      </c>
    </row>
    <row r="847" spans="1:8">
      <c r="A847">
        <v>3444</v>
      </c>
      <c r="B847" t="s">
        <v>912</v>
      </c>
      <c r="C847">
        <v>69</v>
      </c>
      <c r="D847">
        <v>6</v>
      </c>
      <c r="E847">
        <v>414</v>
      </c>
      <c r="F847">
        <v>846</v>
      </c>
      <c r="G847">
        <v>86</v>
      </c>
      <c r="H847" t="s">
        <v>631</v>
      </c>
    </row>
    <row r="848" spans="1:8">
      <c r="A848">
        <v>153</v>
      </c>
      <c r="B848" t="s">
        <v>913</v>
      </c>
      <c r="C848">
        <v>206</v>
      </c>
      <c r="D848">
        <v>2</v>
      </c>
      <c r="E848">
        <v>412</v>
      </c>
      <c r="F848">
        <v>847</v>
      </c>
      <c r="G848">
        <v>86</v>
      </c>
      <c r="H848" t="s">
        <v>631</v>
      </c>
    </row>
    <row r="849" spans="1:8">
      <c r="A849">
        <v>434</v>
      </c>
      <c r="B849" t="s">
        <v>369</v>
      </c>
      <c r="C849">
        <v>205</v>
      </c>
      <c r="D849">
        <v>2</v>
      </c>
      <c r="E849">
        <v>410</v>
      </c>
      <c r="F849">
        <v>848</v>
      </c>
      <c r="G849">
        <v>86.1</v>
      </c>
      <c r="H849" t="s">
        <v>631</v>
      </c>
    </row>
    <row r="850" spans="1:8">
      <c r="A850">
        <v>1632</v>
      </c>
      <c r="B850" t="s">
        <v>914</v>
      </c>
      <c r="C850">
        <v>410</v>
      </c>
      <c r="D850">
        <v>1</v>
      </c>
      <c r="E850">
        <v>410</v>
      </c>
      <c r="F850">
        <v>849</v>
      </c>
      <c r="G850">
        <v>86.1</v>
      </c>
      <c r="H850" t="s">
        <v>631</v>
      </c>
    </row>
    <row r="851" spans="1:8">
      <c r="A851">
        <v>95</v>
      </c>
      <c r="B851" t="s">
        <v>915</v>
      </c>
      <c r="C851">
        <v>68</v>
      </c>
      <c r="D851">
        <v>6</v>
      </c>
      <c r="E851">
        <v>408</v>
      </c>
      <c r="F851">
        <v>850</v>
      </c>
      <c r="G851">
        <v>86.1</v>
      </c>
      <c r="H851" t="s">
        <v>631</v>
      </c>
    </row>
    <row r="852" spans="1:8">
      <c r="A852">
        <v>120</v>
      </c>
      <c r="B852" t="s">
        <v>916</v>
      </c>
      <c r="C852">
        <v>68</v>
      </c>
      <c r="D852">
        <v>6</v>
      </c>
      <c r="E852">
        <v>408</v>
      </c>
      <c r="F852">
        <v>851</v>
      </c>
      <c r="G852">
        <v>86.2</v>
      </c>
      <c r="H852" t="s">
        <v>631</v>
      </c>
    </row>
    <row r="853" spans="1:8">
      <c r="A853">
        <v>1147</v>
      </c>
      <c r="B853" t="s">
        <v>117</v>
      </c>
      <c r="C853">
        <v>68</v>
      </c>
      <c r="D853">
        <v>6</v>
      </c>
      <c r="E853">
        <v>408</v>
      </c>
      <c r="F853">
        <v>852</v>
      </c>
      <c r="G853">
        <v>86.2</v>
      </c>
      <c r="H853" t="s">
        <v>631</v>
      </c>
    </row>
    <row r="854" spans="1:8">
      <c r="A854">
        <v>2667</v>
      </c>
      <c r="B854" t="s">
        <v>917</v>
      </c>
      <c r="C854">
        <v>68</v>
      </c>
      <c r="D854">
        <v>6</v>
      </c>
      <c r="E854">
        <v>408</v>
      </c>
      <c r="F854">
        <v>853</v>
      </c>
      <c r="G854">
        <v>86.2</v>
      </c>
      <c r="H854" t="s">
        <v>631</v>
      </c>
    </row>
    <row r="855" spans="1:8">
      <c r="A855">
        <v>2768</v>
      </c>
      <c r="B855" t="s">
        <v>918</v>
      </c>
      <c r="C855">
        <v>68</v>
      </c>
      <c r="D855">
        <v>6</v>
      </c>
      <c r="E855">
        <v>408</v>
      </c>
      <c r="F855">
        <v>854</v>
      </c>
      <c r="G855">
        <v>86.3</v>
      </c>
      <c r="H855" t="s">
        <v>631</v>
      </c>
    </row>
    <row r="856" spans="1:8">
      <c r="A856">
        <v>2808</v>
      </c>
      <c r="B856" t="s">
        <v>919</v>
      </c>
      <c r="C856">
        <v>68</v>
      </c>
      <c r="D856">
        <v>6</v>
      </c>
      <c r="E856">
        <v>408</v>
      </c>
      <c r="F856">
        <v>855</v>
      </c>
      <c r="G856">
        <v>86.3</v>
      </c>
      <c r="H856" t="s">
        <v>631</v>
      </c>
    </row>
    <row r="857" spans="1:8">
      <c r="A857">
        <v>3492</v>
      </c>
      <c r="B857" t="s">
        <v>920</v>
      </c>
      <c r="C857">
        <v>68</v>
      </c>
      <c r="D857">
        <v>6</v>
      </c>
      <c r="E857">
        <v>408</v>
      </c>
      <c r="F857">
        <v>856</v>
      </c>
      <c r="G857">
        <v>86.4</v>
      </c>
      <c r="H857" t="s">
        <v>631</v>
      </c>
    </row>
    <row r="858" spans="1:8">
      <c r="A858">
        <v>3554</v>
      </c>
      <c r="B858" t="s">
        <v>921</v>
      </c>
      <c r="C858">
        <v>68</v>
      </c>
      <c r="D858">
        <v>6</v>
      </c>
      <c r="E858">
        <v>408</v>
      </c>
      <c r="F858">
        <v>857</v>
      </c>
      <c r="G858">
        <v>86.4</v>
      </c>
      <c r="H858" t="s">
        <v>631</v>
      </c>
    </row>
    <row r="859" spans="1:8">
      <c r="A859">
        <v>2625</v>
      </c>
      <c r="B859" t="s">
        <v>922</v>
      </c>
      <c r="C859">
        <v>68</v>
      </c>
      <c r="D859">
        <v>6</v>
      </c>
      <c r="E859">
        <v>405</v>
      </c>
      <c r="F859">
        <v>858</v>
      </c>
      <c r="G859">
        <v>86.4</v>
      </c>
      <c r="H859" t="s">
        <v>631</v>
      </c>
    </row>
    <row r="860" spans="1:8">
      <c r="A860">
        <v>347</v>
      </c>
      <c r="B860" t="s">
        <v>923</v>
      </c>
      <c r="C860">
        <v>200</v>
      </c>
      <c r="D860">
        <v>2</v>
      </c>
      <c r="E860">
        <v>400</v>
      </c>
      <c r="F860">
        <v>859</v>
      </c>
      <c r="G860">
        <v>86.5</v>
      </c>
      <c r="H860" t="s">
        <v>631</v>
      </c>
    </row>
    <row r="861" spans="1:8">
      <c r="A861">
        <v>439</v>
      </c>
      <c r="B861" t="s">
        <v>924</v>
      </c>
      <c r="C861">
        <v>80</v>
      </c>
      <c r="D861">
        <v>5</v>
      </c>
      <c r="E861">
        <v>400</v>
      </c>
      <c r="F861">
        <v>860</v>
      </c>
      <c r="G861">
        <v>86.5</v>
      </c>
      <c r="H861" t="s">
        <v>631</v>
      </c>
    </row>
    <row r="862" spans="1:8">
      <c r="A862">
        <v>2928</v>
      </c>
      <c r="B862" t="s">
        <v>925</v>
      </c>
      <c r="C862">
        <v>100</v>
      </c>
      <c r="D862">
        <v>4</v>
      </c>
      <c r="E862">
        <v>400</v>
      </c>
      <c r="F862">
        <v>861</v>
      </c>
      <c r="G862">
        <v>86.6</v>
      </c>
      <c r="H862" t="s">
        <v>631</v>
      </c>
    </row>
    <row r="863" spans="1:8">
      <c r="A863">
        <v>3502</v>
      </c>
      <c r="B863" t="s">
        <v>926</v>
      </c>
      <c r="C863">
        <v>200</v>
      </c>
      <c r="D863">
        <v>2</v>
      </c>
      <c r="E863">
        <v>400</v>
      </c>
      <c r="F863">
        <v>862</v>
      </c>
      <c r="G863">
        <v>86.6</v>
      </c>
      <c r="H863" t="s">
        <v>631</v>
      </c>
    </row>
    <row r="864" spans="1:8">
      <c r="A864">
        <v>2548</v>
      </c>
      <c r="B864" t="s">
        <v>170</v>
      </c>
      <c r="C864">
        <v>133</v>
      </c>
      <c r="D864">
        <v>3</v>
      </c>
      <c r="E864">
        <v>399</v>
      </c>
      <c r="F864">
        <v>863</v>
      </c>
      <c r="G864">
        <v>86.6</v>
      </c>
      <c r="H864" t="s">
        <v>631</v>
      </c>
    </row>
    <row r="865" spans="1:8">
      <c r="A865">
        <v>3072</v>
      </c>
      <c r="B865" t="s">
        <v>927</v>
      </c>
      <c r="C865">
        <v>399</v>
      </c>
      <c r="D865">
        <v>1</v>
      </c>
      <c r="E865">
        <v>399</v>
      </c>
      <c r="F865">
        <v>864</v>
      </c>
      <c r="G865">
        <v>86.7</v>
      </c>
      <c r="H865" t="s">
        <v>631</v>
      </c>
    </row>
    <row r="866" spans="1:8">
      <c r="A866">
        <v>486</v>
      </c>
      <c r="B866" t="s">
        <v>420</v>
      </c>
      <c r="C866">
        <v>199</v>
      </c>
      <c r="D866">
        <v>2</v>
      </c>
      <c r="E866">
        <v>398</v>
      </c>
      <c r="F866">
        <v>865</v>
      </c>
      <c r="G866">
        <v>86.7</v>
      </c>
      <c r="H866" t="s">
        <v>631</v>
      </c>
    </row>
    <row r="867" spans="1:8">
      <c r="A867">
        <v>493</v>
      </c>
      <c r="B867" t="s">
        <v>928</v>
      </c>
      <c r="C867">
        <v>66</v>
      </c>
      <c r="D867">
        <v>6</v>
      </c>
      <c r="E867">
        <v>396</v>
      </c>
      <c r="F867">
        <v>866</v>
      </c>
      <c r="G867">
        <v>86.7</v>
      </c>
      <c r="H867" t="s">
        <v>631</v>
      </c>
    </row>
    <row r="868" spans="1:8">
      <c r="A868">
        <v>509</v>
      </c>
      <c r="B868" t="s">
        <v>929</v>
      </c>
      <c r="C868">
        <v>66</v>
      </c>
      <c r="D868">
        <v>6</v>
      </c>
      <c r="E868">
        <v>396</v>
      </c>
      <c r="F868">
        <v>867</v>
      </c>
      <c r="G868">
        <v>86.8</v>
      </c>
      <c r="H868" t="s">
        <v>631</v>
      </c>
    </row>
    <row r="869" spans="1:8">
      <c r="A869">
        <v>3447</v>
      </c>
      <c r="B869" t="s">
        <v>930</v>
      </c>
      <c r="C869">
        <v>66</v>
      </c>
      <c r="D869">
        <v>6</v>
      </c>
      <c r="E869">
        <v>396</v>
      </c>
      <c r="F869">
        <v>868</v>
      </c>
      <c r="G869">
        <v>86.8</v>
      </c>
      <c r="H869" t="s">
        <v>631</v>
      </c>
    </row>
    <row r="870" spans="1:8">
      <c r="A870">
        <v>244</v>
      </c>
      <c r="B870" t="s">
        <v>931</v>
      </c>
      <c r="C870">
        <v>79</v>
      </c>
      <c r="D870">
        <v>5</v>
      </c>
      <c r="E870">
        <v>395</v>
      </c>
      <c r="F870">
        <v>869</v>
      </c>
      <c r="G870">
        <v>86.9</v>
      </c>
      <c r="H870" t="s">
        <v>631</v>
      </c>
    </row>
    <row r="871" spans="1:8">
      <c r="A871">
        <v>2887</v>
      </c>
      <c r="B871" t="s">
        <v>932</v>
      </c>
      <c r="C871">
        <v>98</v>
      </c>
      <c r="D871">
        <v>4</v>
      </c>
      <c r="E871">
        <v>392</v>
      </c>
      <c r="F871">
        <v>870</v>
      </c>
      <c r="G871">
        <v>86.9</v>
      </c>
      <c r="H871" t="s">
        <v>631</v>
      </c>
    </row>
    <row r="872" spans="1:8">
      <c r="A872">
        <v>3449</v>
      </c>
      <c r="B872" t="s">
        <v>933</v>
      </c>
      <c r="C872">
        <v>98</v>
      </c>
      <c r="D872">
        <v>4</v>
      </c>
      <c r="E872">
        <v>392</v>
      </c>
      <c r="F872">
        <v>871</v>
      </c>
      <c r="G872">
        <v>86.9</v>
      </c>
      <c r="H872" t="s">
        <v>631</v>
      </c>
    </row>
    <row r="873" spans="1:8">
      <c r="A873">
        <v>281</v>
      </c>
      <c r="B873" t="s">
        <v>934</v>
      </c>
      <c r="C873">
        <v>65</v>
      </c>
      <c r="D873">
        <v>6</v>
      </c>
      <c r="E873">
        <v>390</v>
      </c>
      <c r="F873">
        <v>872</v>
      </c>
      <c r="G873">
        <v>87</v>
      </c>
      <c r="H873" t="s">
        <v>631</v>
      </c>
    </row>
    <row r="874" spans="1:8">
      <c r="A874">
        <v>338</v>
      </c>
      <c r="B874" t="s">
        <v>935</v>
      </c>
      <c r="C874">
        <v>65</v>
      </c>
      <c r="D874">
        <v>6</v>
      </c>
      <c r="E874">
        <v>390</v>
      </c>
      <c r="F874">
        <v>873</v>
      </c>
      <c r="G874">
        <v>87</v>
      </c>
      <c r="H874" t="s">
        <v>631</v>
      </c>
    </row>
    <row r="875" spans="1:8">
      <c r="A875">
        <v>2619</v>
      </c>
      <c r="B875" t="s">
        <v>936</v>
      </c>
      <c r="C875">
        <v>65</v>
      </c>
      <c r="D875">
        <v>6</v>
      </c>
      <c r="E875">
        <v>390</v>
      </c>
      <c r="F875">
        <v>874</v>
      </c>
      <c r="G875">
        <v>87</v>
      </c>
      <c r="H875" t="s">
        <v>631</v>
      </c>
    </row>
    <row r="876" spans="1:8">
      <c r="A876">
        <v>97</v>
      </c>
      <c r="B876" t="s">
        <v>146</v>
      </c>
      <c r="C876">
        <v>97</v>
      </c>
      <c r="D876">
        <v>4</v>
      </c>
      <c r="E876">
        <v>388</v>
      </c>
      <c r="F876">
        <v>875</v>
      </c>
      <c r="G876">
        <v>87.1</v>
      </c>
      <c r="H876" t="s">
        <v>631</v>
      </c>
    </row>
    <row r="877" spans="1:8">
      <c r="A877">
        <v>1501</v>
      </c>
      <c r="B877" t="s">
        <v>937</v>
      </c>
      <c r="C877">
        <v>129</v>
      </c>
      <c r="D877">
        <v>3</v>
      </c>
      <c r="E877">
        <v>387</v>
      </c>
      <c r="F877">
        <v>876</v>
      </c>
      <c r="G877">
        <v>87.1</v>
      </c>
      <c r="H877" t="s">
        <v>631</v>
      </c>
    </row>
    <row r="878" spans="1:8">
      <c r="A878">
        <v>322</v>
      </c>
      <c r="B878" t="s">
        <v>938</v>
      </c>
      <c r="C878">
        <v>77</v>
      </c>
      <c r="D878">
        <v>5</v>
      </c>
      <c r="E878">
        <v>385</v>
      </c>
      <c r="F878">
        <v>877</v>
      </c>
      <c r="G878">
        <v>87.1</v>
      </c>
      <c r="H878" t="s">
        <v>631</v>
      </c>
    </row>
    <row r="879" spans="1:8">
      <c r="A879">
        <v>1671</v>
      </c>
      <c r="B879" t="s">
        <v>939</v>
      </c>
      <c r="C879">
        <v>77</v>
      </c>
      <c r="D879">
        <v>5</v>
      </c>
      <c r="E879">
        <v>385</v>
      </c>
      <c r="F879">
        <v>878</v>
      </c>
      <c r="G879">
        <v>87.2</v>
      </c>
      <c r="H879" t="s">
        <v>631</v>
      </c>
    </row>
    <row r="880" spans="1:8">
      <c r="A880">
        <v>129</v>
      </c>
      <c r="B880" t="s">
        <v>940</v>
      </c>
      <c r="C880">
        <v>64</v>
      </c>
      <c r="D880">
        <v>6</v>
      </c>
      <c r="E880">
        <v>384</v>
      </c>
      <c r="F880">
        <v>879</v>
      </c>
      <c r="G880">
        <v>87.2</v>
      </c>
      <c r="H880" t="s">
        <v>631</v>
      </c>
    </row>
    <row r="881" spans="1:8">
      <c r="A881">
        <v>314</v>
      </c>
      <c r="B881" t="s">
        <v>941</v>
      </c>
      <c r="C881">
        <v>128</v>
      </c>
      <c r="D881">
        <v>3</v>
      </c>
      <c r="E881">
        <v>384</v>
      </c>
      <c r="F881">
        <v>880</v>
      </c>
      <c r="G881">
        <v>87.3</v>
      </c>
      <c r="H881" t="s">
        <v>631</v>
      </c>
    </row>
    <row r="882" spans="1:8">
      <c r="A882">
        <v>1604</v>
      </c>
      <c r="B882" t="s">
        <v>130</v>
      </c>
      <c r="C882">
        <v>128</v>
      </c>
      <c r="D882">
        <v>3</v>
      </c>
      <c r="E882">
        <v>384</v>
      </c>
      <c r="F882">
        <v>881</v>
      </c>
      <c r="G882">
        <v>87.3</v>
      </c>
      <c r="H882" t="s">
        <v>631</v>
      </c>
    </row>
    <row r="883" spans="1:8">
      <c r="A883">
        <v>2671</v>
      </c>
      <c r="B883" t="s">
        <v>942</v>
      </c>
      <c r="C883">
        <v>96</v>
      </c>
      <c r="D883">
        <v>4</v>
      </c>
      <c r="E883">
        <v>384</v>
      </c>
      <c r="F883">
        <v>882</v>
      </c>
      <c r="G883">
        <v>87.3</v>
      </c>
      <c r="H883" t="s">
        <v>631</v>
      </c>
    </row>
    <row r="884" spans="1:8">
      <c r="A884">
        <v>3522</v>
      </c>
      <c r="B884" t="s">
        <v>943</v>
      </c>
      <c r="C884">
        <v>64</v>
      </c>
      <c r="D884">
        <v>6</v>
      </c>
      <c r="E884">
        <v>384</v>
      </c>
      <c r="F884">
        <v>883</v>
      </c>
      <c r="G884">
        <v>87.4</v>
      </c>
      <c r="H884" t="s">
        <v>631</v>
      </c>
    </row>
    <row r="885" spans="1:8">
      <c r="A885">
        <v>3571</v>
      </c>
      <c r="B885" t="s">
        <v>944</v>
      </c>
      <c r="C885">
        <v>64</v>
      </c>
      <c r="D885">
        <v>6</v>
      </c>
      <c r="E885">
        <v>384</v>
      </c>
      <c r="F885">
        <v>884</v>
      </c>
      <c r="G885">
        <v>87.4</v>
      </c>
      <c r="H885" t="s">
        <v>631</v>
      </c>
    </row>
    <row r="886" spans="1:8">
      <c r="A886">
        <v>1543</v>
      </c>
      <c r="B886" t="s">
        <v>945</v>
      </c>
      <c r="C886">
        <v>383</v>
      </c>
      <c r="D886">
        <v>1</v>
      </c>
      <c r="E886">
        <v>383</v>
      </c>
      <c r="F886">
        <v>885</v>
      </c>
      <c r="G886">
        <v>87.4</v>
      </c>
      <c r="H886" t="s">
        <v>631</v>
      </c>
    </row>
    <row r="887" spans="1:8">
      <c r="A887">
        <v>2624</v>
      </c>
      <c r="B887" t="s">
        <v>946</v>
      </c>
      <c r="C887">
        <v>127</v>
      </c>
      <c r="D887">
        <v>3</v>
      </c>
      <c r="E887">
        <v>381</v>
      </c>
      <c r="F887">
        <v>886</v>
      </c>
      <c r="G887">
        <v>87.5</v>
      </c>
      <c r="H887" t="s">
        <v>631</v>
      </c>
    </row>
    <row r="888" spans="1:8">
      <c r="A888">
        <v>148</v>
      </c>
      <c r="B888" t="s">
        <v>947</v>
      </c>
      <c r="C888">
        <v>95</v>
      </c>
      <c r="D888">
        <v>4</v>
      </c>
      <c r="E888">
        <v>380</v>
      </c>
      <c r="F888">
        <v>887</v>
      </c>
      <c r="G888">
        <v>87.5</v>
      </c>
      <c r="H888" t="s">
        <v>631</v>
      </c>
    </row>
    <row r="889" spans="1:8">
      <c r="A889">
        <v>332</v>
      </c>
      <c r="B889" t="s">
        <v>948</v>
      </c>
      <c r="C889">
        <v>95</v>
      </c>
      <c r="D889">
        <v>4</v>
      </c>
      <c r="E889">
        <v>380</v>
      </c>
      <c r="F889">
        <v>888</v>
      </c>
      <c r="G889">
        <v>87.5</v>
      </c>
      <c r="H889" t="s">
        <v>631</v>
      </c>
    </row>
    <row r="890" spans="1:8">
      <c r="A890">
        <v>1176</v>
      </c>
      <c r="B890" t="s">
        <v>949</v>
      </c>
      <c r="C890">
        <v>95</v>
      </c>
      <c r="D890">
        <v>4</v>
      </c>
      <c r="E890">
        <v>380</v>
      </c>
      <c r="F890">
        <v>889</v>
      </c>
      <c r="G890">
        <v>87.6</v>
      </c>
      <c r="H890" t="s">
        <v>631</v>
      </c>
    </row>
    <row r="891" spans="1:8">
      <c r="A891">
        <v>2872</v>
      </c>
      <c r="B891" t="s">
        <v>950</v>
      </c>
      <c r="C891">
        <v>95</v>
      </c>
      <c r="D891">
        <v>4</v>
      </c>
      <c r="E891">
        <v>380</v>
      </c>
      <c r="F891">
        <v>890</v>
      </c>
      <c r="G891">
        <v>87.6</v>
      </c>
      <c r="H891" t="s">
        <v>631</v>
      </c>
    </row>
    <row r="892" spans="1:8">
      <c r="A892">
        <v>3687</v>
      </c>
      <c r="B892" t="s">
        <v>951</v>
      </c>
      <c r="C892">
        <v>76</v>
      </c>
      <c r="D892">
        <v>5</v>
      </c>
      <c r="E892">
        <v>380</v>
      </c>
      <c r="F892">
        <v>891</v>
      </c>
      <c r="G892">
        <v>87.7</v>
      </c>
      <c r="H892" t="s">
        <v>631</v>
      </c>
    </row>
    <row r="893" spans="1:8">
      <c r="A893">
        <v>3705</v>
      </c>
      <c r="B893" t="s">
        <v>952</v>
      </c>
      <c r="C893">
        <v>95</v>
      </c>
      <c r="D893">
        <v>4</v>
      </c>
      <c r="E893">
        <v>380</v>
      </c>
      <c r="F893">
        <v>892</v>
      </c>
      <c r="G893">
        <v>87.7</v>
      </c>
      <c r="H893" t="s">
        <v>631</v>
      </c>
    </row>
    <row r="894" spans="1:8">
      <c r="A894">
        <v>444</v>
      </c>
      <c r="B894" t="s">
        <v>953</v>
      </c>
      <c r="C894">
        <v>63</v>
      </c>
      <c r="D894">
        <v>6</v>
      </c>
      <c r="E894">
        <v>378</v>
      </c>
      <c r="F894">
        <v>893</v>
      </c>
      <c r="G894">
        <v>87.7</v>
      </c>
      <c r="H894" t="s">
        <v>631</v>
      </c>
    </row>
    <row r="895" spans="1:8">
      <c r="A895">
        <v>456</v>
      </c>
      <c r="B895" t="s">
        <v>954</v>
      </c>
      <c r="C895">
        <v>63</v>
      </c>
      <c r="D895">
        <v>6</v>
      </c>
      <c r="E895">
        <v>378</v>
      </c>
      <c r="F895">
        <v>894</v>
      </c>
      <c r="G895">
        <v>87.8</v>
      </c>
      <c r="H895" t="s">
        <v>631</v>
      </c>
    </row>
    <row r="896" spans="1:8">
      <c r="A896">
        <v>457</v>
      </c>
      <c r="B896" t="s">
        <v>955</v>
      </c>
      <c r="C896">
        <v>63</v>
      </c>
      <c r="D896">
        <v>6</v>
      </c>
      <c r="E896">
        <v>378</v>
      </c>
      <c r="F896">
        <v>895</v>
      </c>
      <c r="G896">
        <v>87.8</v>
      </c>
      <c r="H896" t="s">
        <v>631</v>
      </c>
    </row>
    <row r="897" spans="1:8">
      <c r="A897">
        <v>465</v>
      </c>
      <c r="B897" t="s">
        <v>956</v>
      </c>
      <c r="C897">
        <v>63</v>
      </c>
      <c r="D897">
        <v>6</v>
      </c>
      <c r="E897">
        <v>378</v>
      </c>
      <c r="F897">
        <v>896</v>
      </c>
      <c r="G897">
        <v>87.8</v>
      </c>
      <c r="H897" t="s">
        <v>631</v>
      </c>
    </row>
    <row r="898" spans="1:8">
      <c r="A898">
        <v>1612</v>
      </c>
      <c r="B898" t="s">
        <v>957</v>
      </c>
      <c r="C898">
        <v>126</v>
      </c>
      <c r="D898">
        <v>3</v>
      </c>
      <c r="E898">
        <v>378</v>
      </c>
      <c r="F898">
        <v>897</v>
      </c>
      <c r="G898">
        <v>87.9</v>
      </c>
      <c r="H898" t="s">
        <v>631</v>
      </c>
    </row>
    <row r="899" spans="1:8">
      <c r="A899">
        <v>2707</v>
      </c>
      <c r="B899" t="s">
        <v>958</v>
      </c>
      <c r="C899">
        <v>63</v>
      </c>
      <c r="D899">
        <v>6</v>
      </c>
      <c r="E899">
        <v>378</v>
      </c>
      <c r="F899">
        <v>898</v>
      </c>
      <c r="G899">
        <v>87.9</v>
      </c>
      <c r="H899" t="s">
        <v>631</v>
      </c>
    </row>
    <row r="900" spans="1:8">
      <c r="A900">
        <v>2773</v>
      </c>
      <c r="B900" t="s">
        <v>95</v>
      </c>
      <c r="C900">
        <v>63</v>
      </c>
      <c r="D900">
        <v>6</v>
      </c>
      <c r="E900">
        <v>378</v>
      </c>
      <c r="F900">
        <v>899</v>
      </c>
      <c r="G900">
        <v>87.9</v>
      </c>
      <c r="H900" t="s">
        <v>631</v>
      </c>
    </row>
    <row r="901" spans="1:8">
      <c r="A901">
        <v>3514</v>
      </c>
      <c r="B901" t="s">
        <v>959</v>
      </c>
      <c r="C901">
        <v>189</v>
      </c>
      <c r="D901">
        <v>2</v>
      </c>
      <c r="E901">
        <v>378</v>
      </c>
      <c r="F901">
        <v>900</v>
      </c>
      <c r="G901">
        <v>88</v>
      </c>
      <c r="H901" t="s">
        <v>631</v>
      </c>
    </row>
    <row r="902" spans="1:8">
      <c r="A902">
        <v>3564</v>
      </c>
      <c r="B902" t="s">
        <v>960</v>
      </c>
      <c r="C902">
        <v>63</v>
      </c>
      <c r="D902">
        <v>6</v>
      </c>
      <c r="E902">
        <v>378</v>
      </c>
      <c r="F902">
        <v>901</v>
      </c>
      <c r="G902">
        <v>88</v>
      </c>
      <c r="H902" t="s">
        <v>631</v>
      </c>
    </row>
    <row r="903" spans="1:8">
      <c r="A903">
        <v>3566</v>
      </c>
      <c r="B903" t="s">
        <v>961</v>
      </c>
      <c r="C903">
        <v>63</v>
      </c>
      <c r="D903">
        <v>6</v>
      </c>
      <c r="E903">
        <v>378</v>
      </c>
      <c r="F903">
        <v>902</v>
      </c>
      <c r="G903">
        <v>88</v>
      </c>
      <c r="H903" t="s">
        <v>631</v>
      </c>
    </row>
    <row r="904" spans="1:8">
      <c r="A904">
        <v>173</v>
      </c>
      <c r="B904" t="s">
        <v>962</v>
      </c>
      <c r="C904">
        <v>94</v>
      </c>
      <c r="D904">
        <v>4</v>
      </c>
      <c r="E904">
        <v>376</v>
      </c>
      <c r="F904">
        <v>903</v>
      </c>
      <c r="G904">
        <v>88.1</v>
      </c>
      <c r="H904" t="s">
        <v>631</v>
      </c>
    </row>
    <row r="905" spans="1:8">
      <c r="A905">
        <v>243</v>
      </c>
      <c r="B905" t="s">
        <v>91</v>
      </c>
      <c r="C905">
        <v>94</v>
      </c>
      <c r="D905">
        <v>4</v>
      </c>
      <c r="E905">
        <v>376</v>
      </c>
      <c r="F905">
        <v>904</v>
      </c>
      <c r="G905">
        <v>88.1</v>
      </c>
      <c r="H905" t="s">
        <v>631</v>
      </c>
    </row>
    <row r="906" spans="1:8">
      <c r="A906">
        <v>1158</v>
      </c>
      <c r="B906" t="s">
        <v>963</v>
      </c>
      <c r="C906">
        <v>75</v>
      </c>
      <c r="D906">
        <v>5</v>
      </c>
      <c r="E906">
        <v>375</v>
      </c>
      <c r="F906">
        <v>905</v>
      </c>
      <c r="G906">
        <v>88.2</v>
      </c>
      <c r="H906" t="s">
        <v>631</v>
      </c>
    </row>
    <row r="907" spans="1:8">
      <c r="A907">
        <v>1186</v>
      </c>
      <c r="B907" t="s">
        <v>964</v>
      </c>
      <c r="C907">
        <v>75</v>
      </c>
      <c r="D907">
        <v>5</v>
      </c>
      <c r="E907">
        <v>375</v>
      </c>
      <c r="F907">
        <v>906</v>
      </c>
      <c r="G907">
        <v>88.2</v>
      </c>
      <c r="H907" t="s">
        <v>631</v>
      </c>
    </row>
    <row r="908" spans="1:8">
      <c r="A908">
        <v>2905</v>
      </c>
      <c r="B908" t="s">
        <v>965</v>
      </c>
      <c r="C908">
        <v>375</v>
      </c>
      <c r="D908">
        <v>1</v>
      </c>
      <c r="E908">
        <v>375</v>
      </c>
      <c r="F908">
        <v>907</v>
      </c>
      <c r="G908">
        <v>88.2</v>
      </c>
      <c r="H908" t="s">
        <v>631</v>
      </c>
    </row>
    <row r="909" spans="1:8">
      <c r="A909">
        <v>2927</v>
      </c>
      <c r="B909" t="s">
        <v>966</v>
      </c>
      <c r="C909">
        <v>75</v>
      </c>
      <c r="D909">
        <v>5</v>
      </c>
      <c r="E909">
        <v>375</v>
      </c>
      <c r="F909">
        <v>908</v>
      </c>
      <c r="G909">
        <v>88.3</v>
      </c>
      <c r="H909" t="s">
        <v>631</v>
      </c>
    </row>
    <row r="910" spans="1:8">
      <c r="A910">
        <v>305</v>
      </c>
      <c r="B910" t="s">
        <v>967</v>
      </c>
      <c r="C910">
        <v>62</v>
      </c>
      <c r="D910">
        <v>6</v>
      </c>
      <c r="E910">
        <v>372</v>
      </c>
      <c r="F910">
        <v>909</v>
      </c>
      <c r="G910">
        <v>88.3</v>
      </c>
      <c r="H910" t="s">
        <v>631</v>
      </c>
    </row>
    <row r="911" spans="1:8">
      <c r="A911">
        <v>2704</v>
      </c>
      <c r="B911" t="s">
        <v>968</v>
      </c>
      <c r="C911">
        <v>62</v>
      </c>
      <c r="D911">
        <v>6</v>
      </c>
      <c r="E911">
        <v>372</v>
      </c>
      <c r="F911">
        <v>910</v>
      </c>
      <c r="G911">
        <v>88.3</v>
      </c>
      <c r="H911" t="s">
        <v>631</v>
      </c>
    </row>
    <row r="912" spans="1:8">
      <c r="A912">
        <v>2952</v>
      </c>
      <c r="B912" t="s">
        <v>969</v>
      </c>
      <c r="C912">
        <v>185</v>
      </c>
      <c r="D912">
        <v>2</v>
      </c>
      <c r="E912">
        <v>370</v>
      </c>
      <c r="F912">
        <v>911</v>
      </c>
      <c r="G912">
        <v>88.4</v>
      </c>
      <c r="H912" t="s">
        <v>631</v>
      </c>
    </row>
    <row r="913" spans="1:8">
      <c r="A913">
        <v>3513</v>
      </c>
      <c r="B913" t="s">
        <v>970</v>
      </c>
      <c r="C913">
        <v>123</v>
      </c>
      <c r="D913">
        <v>3</v>
      </c>
      <c r="E913">
        <v>369</v>
      </c>
      <c r="F913">
        <v>912</v>
      </c>
      <c r="G913">
        <v>88.4</v>
      </c>
      <c r="H913" t="s">
        <v>631</v>
      </c>
    </row>
    <row r="914" spans="1:8">
      <c r="A914">
        <v>437</v>
      </c>
      <c r="B914" t="s">
        <v>971</v>
      </c>
      <c r="C914">
        <v>61</v>
      </c>
      <c r="D914">
        <v>6</v>
      </c>
      <c r="E914">
        <v>366</v>
      </c>
      <c r="F914">
        <v>913</v>
      </c>
      <c r="G914">
        <v>88.4</v>
      </c>
      <c r="H914" t="s">
        <v>631</v>
      </c>
    </row>
    <row r="915" spans="1:8">
      <c r="A915">
        <v>1585</v>
      </c>
      <c r="B915" t="s">
        <v>972</v>
      </c>
      <c r="C915">
        <v>61</v>
      </c>
      <c r="D915">
        <v>6</v>
      </c>
      <c r="E915">
        <v>366</v>
      </c>
      <c r="F915">
        <v>914</v>
      </c>
      <c r="G915">
        <v>88.5</v>
      </c>
      <c r="H915" t="s">
        <v>631</v>
      </c>
    </row>
    <row r="916" spans="1:8">
      <c r="A916">
        <v>1664</v>
      </c>
      <c r="B916" t="s">
        <v>973</v>
      </c>
      <c r="C916">
        <v>61</v>
      </c>
      <c r="D916">
        <v>6</v>
      </c>
      <c r="E916">
        <v>366</v>
      </c>
      <c r="F916">
        <v>915</v>
      </c>
      <c r="G916">
        <v>88.5</v>
      </c>
      <c r="H916" t="s">
        <v>631</v>
      </c>
    </row>
    <row r="917" spans="1:8">
      <c r="A917">
        <v>3611</v>
      </c>
      <c r="B917" t="s">
        <v>974</v>
      </c>
      <c r="C917">
        <v>61</v>
      </c>
      <c r="D917">
        <v>6</v>
      </c>
      <c r="E917">
        <v>366</v>
      </c>
      <c r="F917">
        <v>916</v>
      </c>
      <c r="G917">
        <v>88.5</v>
      </c>
      <c r="H917" t="s">
        <v>631</v>
      </c>
    </row>
    <row r="918" spans="1:8">
      <c r="A918">
        <v>415</v>
      </c>
      <c r="B918" t="s">
        <v>975</v>
      </c>
      <c r="C918">
        <v>73</v>
      </c>
      <c r="D918">
        <v>5</v>
      </c>
      <c r="E918">
        <v>365</v>
      </c>
      <c r="F918">
        <v>917</v>
      </c>
      <c r="G918">
        <v>88.6</v>
      </c>
      <c r="H918" t="s">
        <v>631</v>
      </c>
    </row>
    <row r="919" spans="1:8">
      <c r="A919">
        <v>3066</v>
      </c>
      <c r="B919" t="s">
        <v>976</v>
      </c>
      <c r="C919">
        <v>365</v>
      </c>
      <c r="D919">
        <v>1</v>
      </c>
      <c r="E919">
        <v>365</v>
      </c>
      <c r="F919">
        <v>918</v>
      </c>
      <c r="G919">
        <v>88.6</v>
      </c>
      <c r="H919" t="s">
        <v>631</v>
      </c>
    </row>
    <row r="920" spans="1:8">
      <c r="A920">
        <v>1443</v>
      </c>
      <c r="B920" t="s">
        <v>977</v>
      </c>
      <c r="C920">
        <v>91</v>
      </c>
      <c r="D920">
        <v>4</v>
      </c>
      <c r="E920">
        <v>364</v>
      </c>
      <c r="F920">
        <v>919</v>
      </c>
      <c r="G920">
        <v>88.6</v>
      </c>
      <c r="H920" t="s">
        <v>631</v>
      </c>
    </row>
    <row r="921" spans="1:8">
      <c r="A921">
        <v>2922</v>
      </c>
      <c r="B921" t="s">
        <v>978</v>
      </c>
      <c r="C921">
        <v>364</v>
      </c>
      <c r="D921">
        <v>1</v>
      </c>
      <c r="E921">
        <v>364</v>
      </c>
      <c r="F921">
        <v>920</v>
      </c>
      <c r="G921">
        <v>88.7</v>
      </c>
      <c r="H921" t="s">
        <v>631</v>
      </c>
    </row>
    <row r="922" spans="1:8">
      <c r="A922">
        <v>133</v>
      </c>
      <c r="B922" t="s">
        <v>145</v>
      </c>
      <c r="C922">
        <v>60</v>
      </c>
      <c r="D922">
        <v>6</v>
      </c>
      <c r="E922">
        <v>360</v>
      </c>
      <c r="F922">
        <v>921</v>
      </c>
      <c r="G922">
        <v>88.7</v>
      </c>
      <c r="H922" t="s">
        <v>631</v>
      </c>
    </row>
    <row r="923" spans="1:8">
      <c r="A923">
        <v>151</v>
      </c>
      <c r="B923" t="s">
        <v>123</v>
      </c>
      <c r="C923">
        <v>72</v>
      </c>
      <c r="D923">
        <v>5</v>
      </c>
      <c r="E923">
        <v>360</v>
      </c>
      <c r="F923">
        <v>922</v>
      </c>
      <c r="G923">
        <v>88.7</v>
      </c>
      <c r="H923" t="s">
        <v>631</v>
      </c>
    </row>
    <row r="924" spans="1:8">
      <c r="A924">
        <v>164</v>
      </c>
      <c r="B924" t="s">
        <v>109</v>
      </c>
      <c r="C924">
        <v>60</v>
      </c>
      <c r="D924">
        <v>6</v>
      </c>
      <c r="E924">
        <v>360</v>
      </c>
      <c r="F924">
        <v>923</v>
      </c>
      <c r="G924">
        <v>88.8</v>
      </c>
      <c r="H924" t="s">
        <v>631</v>
      </c>
    </row>
    <row r="925" spans="1:8">
      <c r="A925">
        <v>223</v>
      </c>
      <c r="B925" t="s">
        <v>979</v>
      </c>
      <c r="C925">
        <v>72</v>
      </c>
      <c r="D925">
        <v>5</v>
      </c>
      <c r="E925">
        <v>360</v>
      </c>
      <c r="F925">
        <v>924</v>
      </c>
      <c r="G925">
        <v>88.8</v>
      </c>
      <c r="H925" t="s">
        <v>631</v>
      </c>
    </row>
    <row r="926" spans="1:8">
      <c r="A926">
        <v>519</v>
      </c>
      <c r="B926" t="s">
        <v>980</v>
      </c>
      <c r="C926">
        <v>60</v>
      </c>
      <c r="D926">
        <v>6</v>
      </c>
      <c r="E926">
        <v>360</v>
      </c>
      <c r="F926">
        <v>925</v>
      </c>
      <c r="G926">
        <v>88.8</v>
      </c>
      <c r="H926" t="s">
        <v>631</v>
      </c>
    </row>
    <row r="927" spans="1:8">
      <c r="A927">
        <v>1143</v>
      </c>
      <c r="B927" t="s">
        <v>981</v>
      </c>
      <c r="C927">
        <v>60</v>
      </c>
      <c r="D927">
        <v>6</v>
      </c>
      <c r="E927">
        <v>360</v>
      </c>
      <c r="F927">
        <v>926</v>
      </c>
      <c r="G927">
        <v>88.9</v>
      </c>
      <c r="H927" t="s">
        <v>631</v>
      </c>
    </row>
    <row r="928" spans="1:8">
      <c r="A928">
        <v>1534</v>
      </c>
      <c r="B928" t="s">
        <v>982</v>
      </c>
      <c r="C928">
        <v>60</v>
      </c>
      <c r="D928">
        <v>6</v>
      </c>
      <c r="E928">
        <v>360</v>
      </c>
      <c r="F928">
        <v>927</v>
      </c>
      <c r="G928">
        <v>88.9</v>
      </c>
      <c r="H928" t="s">
        <v>631</v>
      </c>
    </row>
    <row r="929" spans="1:8">
      <c r="A929">
        <v>2560</v>
      </c>
      <c r="B929" t="s">
        <v>983</v>
      </c>
      <c r="C929">
        <v>180</v>
      </c>
      <c r="D929">
        <v>2</v>
      </c>
      <c r="E929">
        <v>360</v>
      </c>
      <c r="F929">
        <v>928</v>
      </c>
      <c r="G929">
        <v>88.9</v>
      </c>
      <c r="H929" t="s">
        <v>631</v>
      </c>
    </row>
    <row r="930" spans="1:8">
      <c r="A930">
        <v>2674</v>
      </c>
      <c r="B930" t="s">
        <v>984</v>
      </c>
      <c r="C930">
        <v>60</v>
      </c>
      <c r="D930">
        <v>6</v>
      </c>
      <c r="E930">
        <v>360</v>
      </c>
      <c r="F930">
        <v>929</v>
      </c>
      <c r="G930">
        <v>89</v>
      </c>
      <c r="H930" t="s">
        <v>631</v>
      </c>
    </row>
    <row r="931" spans="1:8">
      <c r="A931">
        <v>2817</v>
      </c>
      <c r="B931" t="s">
        <v>985</v>
      </c>
      <c r="C931">
        <v>120</v>
      </c>
      <c r="D931">
        <v>3</v>
      </c>
      <c r="E931">
        <v>360</v>
      </c>
      <c r="F931">
        <v>930</v>
      </c>
      <c r="G931">
        <v>89</v>
      </c>
      <c r="H931" t="s">
        <v>631</v>
      </c>
    </row>
    <row r="932" spans="1:8">
      <c r="A932">
        <v>2854</v>
      </c>
      <c r="B932" t="s">
        <v>986</v>
      </c>
      <c r="C932">
        <v>60</v>
      </c>
      <c r="D932">
        <v>6</v>
      </c>
      <c r="E932">
        <v>360</v>
      </c>
      <c r="F932">
        <v>931</v>
      </c>
      <c r="G932">
        <v>89</v>
      </c>
      <c r="H932" t="s">
        <v>631</v>
      </c>
    </row>
    <row r="933" spans="1:8">
      <c r="A933">
        <v>3006</v>
      </c>
      <c r="B933" t="s">
        <v>987</v>
      </c>
      <c r="C933">
        <v>180</v>
      </c>
      <c r="D933">
        <v>2</v>
      </c>
      <c r="E933">
        <v>360</v>
      </c>
      <c r="F933">
        <v>932</v>
      </c>
      <c r="G933">
        <v>89.1</v>
      </c>
      <c r="H933" t="s">
        <v>631</v>
      </c>
    </row>
    <row r="934" spans="1:8">
      <c r="A934">
        <v>3519</v>
      </c>
      <c r="B934" t="s">
        <v>988</v>
      </c>
      <c r="C934">
        <v>60</v>
      </c>
      <c r="D934">
        <v>6</v>
      </c>
      <c r="E934">
        <v>360</v>
      </c>
      <c r="F934">
        <v>933</v>
      </c>
      <c r="G934">
        <v>89.1</v>
      </c>
      <c r="H934" t="s">
        <v>631</v>
      </c>
    </row>
    <row r="935" spans="1:8">
      <c r="A935">
        <v>1166</v>
      </c>
      <c r="B935" t="s">
        <v>166</v>
      </c>
      <c r="C935">
        <v>359</v>
      </c>
      <c r="D935">
        <v>1</v>
      </c>
      <c r="E935">
        <v>359</v>
      </c>
      <c r="F935">
        <v>934</v>
      </c>
      <c r="G935">
        <v>89.2</v>
      </c>
      <c r="H935" t="s">
        <v>631</v>
      </c>
    </row>
    <row r="936" spans="1:8">
      <c r="A936">
        <v>3445</v>
      </c>
      <c r="B936" t="s">
        <v>989</v>
      </c>
      <c r="C936">
        <v>179</v>
      </c>
      <c r="D936">
        <v>2</v>
      </c>
      <c r="E936">
        <v>358</v>
      </c>
      <c r="F936">
        <v>935</v>
      </c>
      <c r="G936">
        <v>89.2</v>
      </c>
      <c r="H936" t="s">
        <v>631</v>
      </c>
    </row>
    <row r="937" spans="1:8">
      <c r="A937">
        <v>33</v>
      </c>
      <c r="B937" t="s">
        <v>990</v>
      </c>
      <c r="C937">
        <v>119</v>
      </c>
      <c r="D937">
        <v>3</v>
      </c>
      <c r="E937">
        <v>357</v>
      </c>
      <c r="F937">
        <v>936</v>
      </c>
      <c r="G937">
        <v>89.2</v>
      </c>
      <c r="H937" t="s">
        <v>631</v>
      </c>
    </row>
    <row r="938" spans="1:8">
      <c r="A938">
        <v>368</v>
      </c>
      <c r="B938" t="s">
        <v>991</v>
      </c>
      <c r="C938">
        <v>89</v>
      </c>
      <c r="D938">
        <v>4</v>
      </c>
      <c r="E938">
        <v>356</v>
      </c>
      <c r="F938">
        <v>937</v>
      </c>
      <c r="G938">
        <v>89.3</v>
      </c>
      <c r="H938" t="s">
        <v>631</v>
      </c>
    </row>
    <row r="939" spans="1:8">
      <c r="A939">
        <v>2855</v>
      </c>
      <c r="B939" t="s">
        <v>992</v>
      </c>
      <c r="C939">
        <v>89</v>
      </c>
      <c r="D939">
        <v>4</v>
      </c>
      <c r="E939">
        <v>356</v>
      </c>
      <c r="F939">
        <v>938</v>
      </c>
      <c r="G939">
        <v>89.3</v>
      </c>
      <c r="H939" t="s">
        <v>631</v>
      </c>
    </row>
    <row r="940" spans="1:8">
      <c r="A940">
        <v>146</v>
      </c>
      <c r="B940" t="s">
        <v>993</v>
      </c>
      <c r="C940">
        <v>118</v>
      </c>
      <c r="D940">
        <v>3</v>
      </c>
      <c r="E940">
        <v>354</v>
      </c>
      <c r="F940">
        <v>939</v>
      </c>
      <c r="G940">
        <v>89.3</v>
      </c>
      <c r="H940" t="s">
        <v>631</v>
      </c>
    </row>
    <row r="941" spans="1:8">
      <c r="A941">
        <v>181</v>
      </c>
      <c r="B941" t="s">
        <v>994</v>
      </c>
      <c r="C941">
        <v>59</v>
      </c>
      <c r="D941">
        <v>6</v>
      </c>
      <c r="E941">
        <v>354</v>
      </c>
      <c r="F941">
        <v>940</v>
      </c>
      <c r="G941">
        <v>89.4</v>
      </c>
      <c r="H941" t="s">
        <v>631</v>
      </c>
    </row>
    <row r="942" spans="1:8">
      <c r="A942">
        <v>128</v>
      </c>
      <c r="B942" t="s">
        <v>995</v>
      </c>
      <c r="C942">
        <v>88</v>
      </c>
      <c r="D942">
        <v>4</v>
      </c>
      <c r="E942">
        <v>352</v>
      </c>
      <c r="F942">
        <v>941</v>
      </c>
      <c r="G942">
        <v>89.4</v>
      </c>
      <c r="H942" t="s">
        <v>631</v>
      </c>
    </row>
    <row r="943" spans="1:8">
      <c r="A943">
        <v>1392</v>
      </c>
      <c r="B943" t="s">
        <v>996</v>
      </c>
      <c r="C943">
        <v>70</v>
      </c>
      <c r="D943">
        <v>5</v>
      </c>
      <c r="E943">
        <v>350</v>
      </c>
      <c r="F943">
        <v>942</v>
      </c>
      <c r="G943">
        <v>89.4</v>
      </c>
      <c r="H943" t="s">
        <v>631</v>
      </c>
    </row>
    <row r="944" spans="1:8">
      <c r="A944">
        <v>2710</v>
      </c>
      <c r="B944" t="s">
        <v>997</v>
      </c>
      <c r="C944">
        <v>350</v>
      </c>
      <c r="D944">
        <v>1</v>
      </c>
      <c r="E944">
        <v>350</v>
      </c>
      <c r="F944">
        <v>943</v>
      </c>
      <c r="G944">
        <v>89.5</v>
      </c>
      <c r="H944" t="s">
        <v>631</v>
      </c>
    </row>
    <row r="945" spans="1:8">
      <c r="A945">
        <v>268</v>
      </c>
      <c r="B945" t="s">
        <v>998</v>
      </c>
      <c r="C945">
        <v>58</v>
      </c>
      <c r="D945">
        <v>6</v>
      </c>
      <c r="E945">
        <v>348</v>
      </c>
      <c r="F945">
        <v>944</v>
      </c>
      <c r="G945">
        <v>89.5</v>
      </c>
      <c r="H945" t="s">
        <v>631</v>
      </c>
    </row>
    <row r="946" spans="1:8">
      <c r="A946">
        <v>443</v>
      </c>
      <c r="B946" t="s">
        <v>999</v>
      </c>
      <c r="C946">
        <v>58</v>
      </c>
      <c r="D946">
        <v>6</v>
      </c>
      <c r="E946">
        <v>348</v>
      </c>
      <c r="F946">
        <v>945</v>
      </c>
      <c r="G946">
        <v>89.5</v>
      </c>
      <c r="H946" t="s">
        <v>631</v>
      </c>
    </row>
    <row r="947" spans="1:8">
      <c r="A947">
        <v>2706</v>
      </c>
      <c r="B947" t="s">
        <v>1000</v>
      </c>
      <c r="C947">
        <v>116</v>
      </c>
      <c r="D947">
        <v>3</v>
      </c>
      <c r="E947">
        <v>348</v>
      </c>
      <c r="F947">
        <v>946</v>
      </c>
      <c r="G947">
        <v>89.5</v>
      </c>
      <c r="H947" t="s">
        <v>631</v>
      </c>
    </row>
    <row r="948" spans="1:8">
      <c r="A948">
        <v>2843</v>
      </c>
      <c r="B948" t="s">
        <v>1001</v>
      </c>
      <c r="C948">
        <v>58</v>
      </c>
      <c r="D948">
        <v>6</v>
      </c>
      <c r="E948">
        <v>348</v>
      </c>
      <c r="F948">
        <v>947</v>
      </c>
      <c r="G948">
        <v>89.6</v>
      </c>
      <c r="H948" t="s">
        <v>631</v>
      </c>
    </row>
    <row r="949" spans="1:8">
      <c r="A949">
        <v>2965</v>
      </c>
      <c r="B949" t="s">
        <v>1002</v>
      </c>
      <c r="C949">
        <v>58</v>
      </c>
      <c r="D949">
        <v>6</v>
      </c>
      <c r="E949">
        <v>348</v>
      </c>
      <c r="F949">
        <v>948</v>
      </c>
      <c r="G949">
        <v>89.6</v>
      </c>
      <c r="H949" t="s">
        <v>631</v>
      </c>
    </row>
    <row r="950" spans="1:8">
      <c r="A950">
        <v>461</v>
      </c>
      <c r="B950" t="s">
        <v>1003</v>
      </c>
      <c r="C950">
        <v>115</v>
      </c>
      <c r="D950">
        <v>3</v>
      </c>
      <c r="E950">
        <v>345</v>
      </c>
      <c r="F950">
        <v>949</v>
      </c>
      <c r="G950">
        <v>89.6</v>
      </c>
      <c r="H950" t="s">
        <v>631</v>
      </c>
    </row>
    <row r="951" spans="1:8">
      <c r="A951">
        <v>3047</v>
      </c>
      <c r="B951" t="s">
        <v>175</v>
      </c>
      <c r="C951">
        <v>69</v>
      </c>
      <c r="D951">
        <v>5</v>
      </c>
      <c r="E951">
        <v>345</v>
      </c>
      <c r="F951">
        <v>950</v>
      </c>
      <c r="G951">
        <v>89.7</v>
      </c>
      <c r="H951" t="s">
        <v>631</v>
      </c>
    </row>
    <row r="952" spans="1:8">
      <c r="A952">
        <v>321</v>
      </c>
      <c r="B952" t="s">
        <v>1004</v>
      </c>
      <c r="C952">
        <v>171</v>
      </c>
      <c r="D952">
        <v>2</v>
      </c>
      <c r="E952">
        <v>342</v>
      </c>
      <c r="F952">
        <v>951</v>
      </c>
      <c r="G952">
        <v>89.7</v>
      </c>
      <c r="H952" t="s">
        <v>631</v>
      </c>
    </row>
    <row r="953" spans="1:8">
      <c r="A953">
        <v>473</v>
      </c>
      <c r="B953" t="s">
        <v>1005</v>
      </c>
      <c r="C953">
        <v>57</v>
      </c>
      <c r="D953">
        <v>6</v>
      </c>
      <c r="E953">
        <v>342</v>
      </c>
      <c r="F953">
        <v>952</v>
      </c>
      <c r="G953">
        <v>89.7</v>
      </c>
      <c r="H953" t="s">
        <v>631</v>
      </c>
    </row>
    <row r="954" spans="1:8">
      <c r="A954">
        <v>1151</v>
      </c>
      <c r="B954" t="s">
        <v>1006</v>
      </c>
      <c r="C954">
        <v>57</v>
      </c>
      <c r="D954">
        <v>6</v>
      </c>
      <c r="E954">
        <v>342</v>
      </c>
      <c r="F954">
        <v>953</v>
      </c>
      <c r="G954">
        <v>89.8</v>
      </c>
      <c r="H954" t="s">
        <v>631</v>
      </c>
    </row>
    <row r="955" spans="1:8">
      <c r="A955">
        <v>1403</v>
      </c>
      <c r="B955" t="s">
        <v>1007</v>
      </c>
      <c r="C955">
        <v>114</v>
      </c>
      <c r="D955">
        <v>3</v>
      </c>
      <c r="E955">
        <v>342</v>
      </c>
      <c r="F955">
        <v>954</v>
      </c>
      <c r="G955">
        <v>89.8</v>
      </c>
      <c r="H955" t="s">
        <v>631</v>
      </c>
    </row>
    <row r="956" spans="1:8">
      <c r="A956">
        <v>1410</v>
      </c>
      <c r="B956" t="s">
        <v>1008</v>
      </c>
      <c r="C956">
        <v>114</v>
      </c>
      <c r="D956">
        <v>3</v>
      </c>
      <c r="E956">
        <v>342</v>
      </c>
      <c r="F956">
        <v>955</v>
      </c>
      <c r="G956">
        <v>89.8</v>
      </c>
      <c r="H956" t="s">
        <v>631</v>
      </c>
    </row>
    <row r="957" spans="1:8">
      <c r="A957">
        <v>3518</v>
      </c>
      <c r="B957" t="s">
        <v>1009</v>
      </c>
      <c r="C957">
        <v>68</v>
      </c>
      <c r="D957">
        <v>5</v>
      </c>
      <c r="E957">
        <v>340</v>
      </c>
      <c r="F957">
        <v>956</v>
      </c>
      <c r="G957">
        <v>89.9</v>
      </c>
      <c r="H957" t="s">
        <v>631</v>
      </c>
    </row>
    <row r="958" spans="1:8">
      <c r="A958">
        <v>3531</v>
      </c>
      <c r="B958" t="s">
        <v>1010</v>
      </c>
      <c r="C958">
        <v>68</v>
      </c>
      <c r="D958">
        <v>5</v>
      </c>
      <c r="E958">
        <v>340</v>
      </c>
      <c r="F958">
        <v>957</v>
      </c>
      <c r="G958">
        <v>89.9</v>
      </c>
      <c r="H958" t="s">
        <v>631</v>
      </c>
    </row>
    <row r="959" spans="1:8">
      <c r="A959">
        <v>3718</v>
      </c>
      <c r="B959" t="s">
        <v>1011</v>
      </c>
      <c r="C959">
        <v>340</v>
      </c>
      <c r="D959">
        <v>1</v>
      </c>
      <c r="E959">
        <v>340</v>
      </c>
      <c r="F959">
        <v>958</v>
      </c>
      <c r="G959">
        <v>89.9</v>
      </c>
      <c r="H959" t="s">
        <v>631</v>
      </c>
    </row>
    <row r="960" spans="1:8">
      <c r="A960">
        <v>324</v>
      </c>
      <c r="B960" t="s">
        <v>1012</v>
      </c>
      <c r="C960">
        <v>56</v>
      </c>
      <c r="D960">
        <v>6</v>
      </c>
      <c r="E960">
        <v>336</v>
      </c>
      <c r="F960">
        <v>959</v>
      </c>
      <c r="G960">
        <v>90</v>
      </c>
      <c r="H960" t="s">
        <v>631</v>
      </c>
    </row>
    <row r="961" spans="1:8">
      <c r="A961">
        <v>527</v>
      </c>
      <c r="B961" t="s">
        <v>1013</v>
      </c>
      <c r="C961">
        <v>84</v>
      </c>
      <c r="D961">
        <v>4</v>
      </c>
      <c r="E961">
        <v>336</v>
      </c>
      <c r="F961">
        <v>960</v>
      </c>
      <c r="G961">
        <v>90</v>
      </c>
      <c r="H961" t="s">
        <v>1014</v>
      </c>
    </row>
    <row r="962" spans="1:8">
      <c r="A962">
        <v>1454</v>
      </c>
      <c r="B962" t="s">
        <v>1015</v>
      </c>
      <c r="C962">
        <v>56</v>
      </c>
      <c r="D962">
        <v>6</v>
      </c>
      <c r="E962">
        <v>336</v>
      </c>
      <c r="F962">
        <v>961</v>
      </c>
      <c r="G962">
        <v>90</v>
      </c>
      <c r="H962" t="s">
        <v>1014</v>
      </c>
    </row>
    <row r="963" spans="1:8">
      <c r="A963">
        <v>1689</v>
      </c>
      <c r="B963" t="s">
        <v>115</v>
      </c>
      <c r="C963">
        <v>56</v>
      </c>
      <c r="D963">
        <v>6</v>
      </c>
      <c r="E963">
        <v>336</v>
      </c>
      <c r="F963">
        <v>962</v>
      </c>
      <c r="G963">
        <v>90.1</v>
      </c>
      <c r="H963" t="s">
        <v>1014</v>
      </c>
    </row>
    <row r="964" spans="1:8">
      <c r="A964">
        <v>2702</v>
      </c>
      <c r="B964" t="s">
        <v>1016</v>
      </c>
      <c r="C964">
        <v>56</v>
      </c>
      <c r="D964">
        <v>6</v>
      </c>
      <c r="E964">
        <v>336</v>
      </c>
      <c r="F964">
        <v>963</v>
      </c>
      <c r="G964">
        <v>90.1</v>
      </c>
      <c r="H964" t="s">
        <v>1014</v>
      </c>
    </row>
    <row r="965" spans="1:8">
      <c r="A965">
        <v>3076</v>
      </c>
      <c r="B965" t="s">
        <v>1017</v>
      </c>
      <c r="C965">
        <v>84</v>
      </c>
      <c r="D965">
        <v>4</v>
      </c>
      <c r="E965">
        <v>336</v>
      </c>
      <c r="F965">
        <v>964</v>
      </c>
      <c r="G965">
        <v>90.1</v>
      </c>
      <c r="H965" t="s">
        <v>1014</v>
      </c>
    </row>
    <row r="966" spans="1:8">
      <c r="A966">
        <v>3500</v>
      </c>
      <c r="B966" t="s">
        <v>1018</v>
      </c>
      <c r="C966">
        <v>56</v>
      </c>
      <c r="D966">
        <v>6</v>
      </c>
      <c r="E966">
        <v>336</v>
      </c>
      <c r="F966">
        <v>965</v>
      </c>
      <c r="G966">
        <v>90.2</v>
      </c>
      <c r="H966" t="s">
        <v>1014</v>
      </c>
    </row>
    <row r="967" spans="1:8">
      <c r="A967">
        <v>3521</v>
      </c>
      <c r="B967" t="s">
        <v>1019</v>
      </c>
      <c r="C967">
        <v>56</v>
      </c>
      <c r="D967">
        <v>6</v>
      </c>
      <c r="E967">
        <v>336</v>
      </c>
      <c r="F967">
        <v>966</v>
      </c>
      <c r="G967">
        <v>90.2</v>
      </c>
      <c r="H967" t="s">
        <v>1014</v>
      </c>
    </row>
    <row r="968" spans="1:8">
      <c r="A968">
        <v>1437</v>
      </c>
      <c r="B968" t="s">
        <v>1020</v>
      </c>
      <c r="C968">
        <v>55</v>
      </c>
      <c r="D968">
        <v>6</v>
      </c>
      <c r="E968">
        <v>330</v>
      </c>
      <c r="F968">
        <v>967</v>
      </c>
      <c r="G968">
        <v>90.2</v>
      </c>
      <c r="H968" t="s">
        <v>1014</v>
      </c>
    </row>
    <row r="969" spans="1:8">
      <c r="A969">
        <v>1541</v>
      </c>
      <c r="B969" t="s">
        <v>1021</v>
      </c>
      <c r="C969">
        <v>55</v>
      </c>
      <c r="D969">
        <v>6</v>
      </c>
      <c r="E969">
        <v>330</v>
      </c>
      <c r="F969">
        <v>968</v>
      </c>
      <c r="G969">
        <v>90.3</v>
      </c>
      <c r="H969" t="s">
        <v>1014</v>
      </c>
    </row>
    <row r="970" spans="1:8">
      <c r="A970">
        <v>1582</v>
      </c>
      <c r="B970" t="s">
        <v>1022</v>
      </c>
      <c r="C970">
        <v>55</v>
      </c>
      <c r="D970">
        <v>6</v>
      </c>
      <c r="E970">
        <v>330</v>
      </c>
      <c r="F970">
        <v>969</v>
      </c>
      <c r="G970">
        <v>90.3</v>
      </c>
      <c r="H970" t="s">
        <v>1014</v>
      </c>
    </row>
    <row r="971" spans="1:8">
      <c r="A971">
        <v>1660</v>
      </c>
      <c r="B971" t="s">
        <v>1023</v>
      </c>
      <c r="C971">
        <v>55</v>
      </c>
      <c r="D971">
        <v>6</v>
      </c>
      <c r="E971">
        <v>330</v>
      </c>
      <c r="F971">
        <v>970</v>
      </c>
      <c r="G971">
        <v>90.3</v>
      </c>
      <c r="H971" t="s">
        <v>1014</v>
      </c>
    </row>
    <row r="972" spans="1:8">
      <c r="A972">
        <v>2763</v>
      </c>
      <c r="B972" t="s">
        <v>137</v>
      </c>
      <c r="C972">
        <v>55</v>
      </c>
      <c r="D972">
        <v>6</v>
      </c>
      <c r="E972">
        <v>330</v>
      </c>
      <c r="F972">
        <v>971</v>
      </c>
      <c r="G972">
        <v>90.3</v>
      </c>
      <c r="H972" t="s">
        <v>1014</v>
      </c>
    </row>
    <row r="973" spans="1:8">
      <c r="A973">
        <v>2943</v>
      </c>
      <c r="B973" t="s">
        <v>1024</v>
      </c>
      <c r="C973">
        <v>55</v>
      </c>
      <c r="D973">
        <v>6</v>
      </c>
      <c r="E973">
        <v>330</v>
      </c>
      <c r="F973">
        <v>972</v>
      </c>
      <c r="G973">
        <v>90.4</v>
      </c>
      <c r="H973" t="s">
        <v>1014</v>
      </c>
    </row>
    <row r="974" spans="1:8">
      <c r="A974">
        <v>3490</v>
      </c>
      <c r="B974" t="s">
        <v>1025</v>
      </c>
      <c r="C974">
        <v>55</v>
      </c>
      <c r="D974">
        <v>6</v>
      </c>
      <c r="E974">
        <v>330</v>
      </c>
      <c r="F974">
        <v>973</v>
      </c>
      <c r="G974">
        <v>90.4</v>
      </c>
      <c r="H974" t="s">
        <v>1014</v>
      </c>
    </row>
    <row r="975" spans="1:8">
      <c r="A975">
        <v>2992</v>
      </c>
      <c r="B975" t="s">
        <v>1026</v>
      </c>
      <c r="C975">
        <v>163</v>
      </c>
      <c r="D975">
        <v>2</v>
      </c>
      <c r="E975">
        <v>326</v>
      </c>
      <c r="F975">
        <v>974</v>
      </c>
      <c r="G975">
        <v>90.4</v>
      </c>
      <c r="H975" t="s">
        <v>1014</v>
      </c>
    </row>
    <row r="976" spans="1:8">
      <c r="A976">
        <v>1394</v>
      </c>
      <c r="B976" t="s">
        <v>1027</v>
      </c>
      <c r="C976">
        <v>65</v>
      </c>
      <c r="D976">
        <v>5</v>
      </c>
      <c r="E976">
        <v>325</v>
      </c>
      <c r="F976">
        <v>975</v>
      </c>
      <c r="G976">
        <v>90.5</v>
      </c>
      <c r="H976" t="s">
        <v>1014</v>
      </c>
    </row>
    <row r="977" spans="1:8">
      <c r="A977">
        <v>175</v>
      </c>
      <c r="B977" t="s">
        <v>1028</v>
      </c>
      <c r="C977">
        <v>54</v>
      </c>
      <c r="D977">
        <v>6</v>
      </c>
      <c r="E977">
        <v>324</v>
      </c>
      <c r="F977">
        <v>976</v>
      </c>
      <c r="G977">
        <v>90.5</v>
      </c>
      <c r="H977" t="s">
        <v>1014</v>
      </c>
    </row>
    <row r="978" spans="1:8">
      <c r="A978">
        <v>219</v>
      </c>
      <c r="B978" t="s">
        <v>1029</v>
      </c>
      <c r="C978">
        <v>162</v>
      </c>
      <c r="D978">
        <v>2</v>
      </c>
      <c r="E978">
        <v>324</v>
      </c>
      <c r="F978">
        <v>977</v>
      </c>
      <c r="G978">
        <v>90.5</v>
      </c>
      <c r="H978" t="s">
        <v>1014</v>
      </c>
    </row>
    <row r="979" spans="1:8">
      <c r="A979">
        <v>476</v>
      </c>
      <c r="B979" t="s">
        <v>1030</v>
      </c>
      <c r="C979">
        <v>54</v>
      </c>
      <c r="D979">
        <v>6</v>
      </c>
      <c r="E979">
        <v>324</v>
      </c>
      <c r="F979">
        <v>978</v>
      </c>
      <c r="G979">
        <v>90.6</v>
      </c>
      <c r="H979" t="s">
        <v>1014</v>
      </c>
    </row>
    <row r="980" spans="1:8">
      <c r="A980">
        <v>1219</v>
      </c>
      <c r="B980" t="s">
        <v>1031</v>
      </c>
      <c r="C980">
        <v>54</v>
      </c>
      <c r="D980">
        <v>6</v>
      </c>
      <c r="E980">
        <v>324</v>
      </c>
      <c r="F980">
        <v>979</v>
      </c>
      <c r="G980">
        <v>90.6</v>
      </c>
      <c r="H980" t="s">
        <v>1014</v>
      </c>
    </row>
    <row r="981" spans="1:8">
      <c r="A981">
        <v>1549</v>
      </c>
      <c r="B981" t="s">
        <v>1032</v>
      </c>
      <c r="C981">
        <v>162</v>
      </c>
      <c r="D981">
        <v>2</v>
      </c>
      <c r="E981">
        <v>324</v>
      </c>
      <c r="F981">
        <v>980</v>
      </c>
      <c r="G981">
        <v>90.6</v>
      </c>
      <c r="H981" t="s">
        <v>1014</v>
      </c>
    </row>
    <row r="982" spans="1:8">
      <c r="A982">
        <v>2646</v>
      </c>
      <c r="B982" t="s">
        <v>1033</v>
      </c>
      <c r="C982">
        <v>81</v>
      </c>
      <c r="D982">
        <v>4</v>
      </c>
      <c r="E982">
        <v>324</v>
      </c>
      <c r="F982">
        <v>981</v>
      </c>
      <c r="G982">
        <v>90.7</v>
      </c>
      <c r="H982" t="s">
        <v>1014</v>
      </c>
    </row>
    <row r="983" spans="1:8">
      <c r="A983">
        <v>2678</v>
      </c>
      <c r="B983" t="s">
        <v>1034</v>
      </c>
      <c r="C983">
        <v>54</v>
      </c>
      <c r="D983">
        <v>6</v>
      </c>
      <c r="E983">
        <v>324</v>
      </c>
      <c r="F983">
        <v>982</v>
      </c>
      <c r="G983">
        <v>90.7</v>
      </c>
      <c r="H983" t="s">
        <v>1014</v>
      </c>
    </row>
    <row r="984" spans="1:8">
      <c r="A984">
        <v>207</v>
      </c>
      <c r="B984" t="s">
        <v>125</v>
      </c>
      <c r="C984">
        <v>64</v>
      </c>
      <c r="D984">
        <v>5</v>
      </c>
      <c r="E984">
        <v>320</v>
      </c>
      <c r="F984">
        <v>983</v>
      </c>
      <c r="G984">
        <v>90.7</v>
      </c>
      <c r="H984" t="s">
        <v>1014</v>
      </c>
    </row>
    <row r="985" spans="1:8">
      <c r="A985">
        <v>3067</v>
      </c>
      <c r="B985" t="s">
        <v>1035</v>
      </c>
      <c r="C985">
        <v>160</v>
      </c>
      <c r="D985">
        <v>2</v>
      </c>
      <c r="E985">
        <v>320</v>
      </c>
      <c r="F985">
        <v>984</v>
      </c>
      <c r="G985">
        <v>90.7</v>
      </c>
      <c r="H985" t="s">
        <v>1014</v>
      </c>
    </row>
    <row r="986" spans="1:8">
      <c r="A986">
        <v>2791</v>
      </c>
      <c r="B986" t="s">
        <v>1036</v>
      </c>
      <c r="C986">
        <v>159</v>
      </c>
      <c r="D986">
        <v>2</v>
      </c>
      <c r="E986">
        <v>318</v>
      </c>
      <c r="F986">
        <v>985</v>
      </c>
      <c r="G986">
        <v>90.8</v>
      </c>
      <c r="H986" t="s">
        <v>1014</v>
      </c>
    </row>
    <row r="987" spans="1:8">
      <c r="A987">
        <v>2857</v>
      </c>
      <c r="B987" t="s">
        <v>1037</v>
      </c>
      <c r="C987">
        <v>159</v>
      </c>
      <c r="D987">
        <v>2</v>
      </c>
      <c r="E987">
        <v>318</v>
      </c>
      <c r="F987">
        <v>986</v>
      </c>
      <c r="G987">
        <v>90.8</v>
      </c>
      <c r="H987" t="s">
        <v>1014</v>
      </c>
    </row>
    <row r="988" spans="1:8">
      <c r="A988">
        <v>102</v>
      </c>
      <c r="B988" t="s">
        <v>1038</v>
      </c>
      <c r="C988">
        <v>79</v>
      </c>
      <c r="D988">
        <v>4</v>
      </c>
      <c r="E988">
        <v>316</v>
      </c>
      <c r="F988">
        <v>987</v>
      </c>
      <c r="G988">
        <v>90.8</v>
      </c>
      <c r="H988" t="s">
        <v>1014</v>
      </c>
    </row>
    <row r="989" spans="1:8">
      <c r="A989">
        <v>3020</v>
      </c>
      <c r="B989" t="s">
        <v>1039</v>
      </c>
      <c r="C989">
        <v>79</v>
      </c>
      <c r="D989">
        <v>4</v>
      </c>
      <c r="E989">
        <v>316</v>
      </c>
      <c r="F989">
        <v>988</v>
      </c>
      <c r="G989">
        <v>90.9</v>
      </c>
      <c r="H989" t="s">
        <v>1014</v>
      </c>
    </row>
    <row r="990" spans="1:8">
      <c r="A990">
        <v>361</v>
      </c>
      <c r="B990" t="s">
        <v>1040</v>
      </c>
      <c r="C990">
        <v>63</v>
      </c>
      <c r="D990">
        <v>5</v>
      </c>
      <c r="E990">
        <v>315</v>
      </c>
      <c r="F990">
        <v>989</v>
      </c>
      <c r="G990">
        <v>90.9</v>
      </c>
      <c r="H990" t="s">
        <v>1014</v>
      </c>
    </row>
    <row r="991" spans="1:8">
      <c r="A991">
        <v>2948</v>
      </c>
      <c r="B991" t="s">
        <v>1041</v>
      </c>
      <c r="C991">
        <v>314</v>
      </c>
      <c r="D991">
        <v>1</v>
      </c>
      <c r="E991">
        <v>314</v>
      </c>
      <c r="F991">
        <v>990</v>
      </c>
      <c r="G991">
        <v>90.9</v>
      </c>
      <c r="H991" t="s">
        <v>1014</v>
      </c>
    </row>
    <row r="992" spans="1:8">
      <c r="A992">
        <v>402</v>
      </c>
      <c r="B992" t="s">
        <v>1042</v>
      </c>
      <c r="C992">
        <v>52</v>
      </c>
      <c r="D992">
        <v>6</v>
      </c>
      <c r="E992">
        <v>312</v>
      </c>
      <c r="F992">
        <v>991</v>
      </c>
      <c r="G992">
        <v>91</v>
      </c>
      <c r="H992" t="s">
        <v>1014</v>
      </c>
    </row>
    <row r="993" spans="1:8">
      <c r="A993">
        <v>416</v>
      </c>
      <c r="B993" t="s">
        <v>1043</v>
      </c>
      <c r="C993">
        <v>52</v>
      </c>
      <c r="D993">
        <v>6</v>
      </c>
      <c r="E993">
        <v>312</v>
      </c>
      <c r="F993">
        <v>992</v>
      </c>
      <c r="G993">
        <v>91</v>
      </c>
      <c r="H993" t="s">
        <v>1014</v>
      </c>
    </row>
    <row r="994" spans="1:8">
      <c r="A994">
        <v>452</v>
      </c>
      <c r="B994" t="s">
        <v>1044</v>
      </c>
      <c r="C994">
        <v>52</v>
      </c>
      <c r="D994">
        <v>6</v>
      </c>
      <c r="E994">
        <v>312</v>
      </c>
      <c r="F994">
        <v>993</v>
      </c>
      <c r="G994">
        <v>91</v>
      </c>
      <c r="H994" t="s">
        <v>1014</v>
      </c>
    </row>
    <row r="995" spans="1:8">
      <c r="A995">
        <v>2754</v>
      </c>
      <c r="B995" t="s">
        <v>1045</v>
      </c>
      <c r="C995">
        <v>104</v>
      </c>
      <c r="D995">
        <v>3</v>
      </c>
      <c r="E995">
        <v>312</v>
      </c>
      <c r="F995">
        <v>994</v>
      </c>
      <c r="G995">
        <v>91</v>
      </c>
      <c r="H995" t="s">
        <v>1014</v>
      </c>
    </row>
    <row r="996" spans="1:8">
      <c r="A996">
        <v>1182</v>
      </c>
      <c r="B996" t="s">
        <v>1046</v>
      </c>
      <c r="C996">
        <v>155</v>
      </c>
      <c r="D996">
        <v>2</v>
      </c>
      <c r="E996">
        <v>310</v>
      </c>
      <c r="F996">
        <v>995</v>
      </c>
      <c r="G996">
        <v>91.1</v>
      </c>
      <c r="H996" t="s">
        <v>1014</v>
      </c>
    </row>
    <row r="997" spans="1:8">
      <c r="A997">
        <v>3458</v>
      </c>
      <c r="B997" t="s">
        <v>1047</v>
      </c>
      <c r="C997">
        <v>77</v>
      </c>
      <c r="D997">
        <v>4</v>
      </c>
      <c r="E997">
        <v>308</v>
      </c>
      <c r="F997">
        <v>996</v>
      </c>
      <c r="G997">
        <v>91.1</v>
      </c>
      <c r="H997" t="s">
        <v>1014</v>
      </c>
    </row>
    <row r="998" spans="1:8">
      <c r="A998">
        <v>123</v>
      </c>
      <c r="B998" t="s">
        <v>1048</v>
      </c>
      <c r="C998">
        <v>51</v>
      </c>
      <c r="D998">
        <v>6</v>
      </c>
      <c r="E998">
        <v>306</v>
      </c>
      <c r="F998">
        <v>997</v>
      </c>
      <c r="G998">
        <v>91.1</v>
      </c>
      <c r="H998" t="s">
        <v>1014</v>
      </c>
    </row>
    <row r="999" spans="1:8">
      <c r="A999">
        <v>311</v>
      </c>
      <c r="B999" t="s">
        <v>1049</v>
      </c>
      <c r="C999">
        <v>51</v>
      </c>
      <c r="D999">
        <v>6</v>
      </c>
      <c r="E999">
        <v>306</v>
      </c>
      <c r="F999">
        <v>998</v>
      </c>
      <c r="G999">
        <v>91.2</v>
      </c>
      <c r="H999" t="s">
        <v>1014</v>
      </c>
    </row>
    <row r="1000" spans="1:8">
      <c r="A1000">
        <v>1540</v>
      </c>
      <c r="B1000" t="s">
        <v>99</v>
      </c>
      <c r="C1000">
        <v>61</v>
      </c>
      <c r="D1000">
        <v>5</v>
      </c>
      <c r="E1000">
        <v>305</v>
      </c>
      <c r="F1000">
        <v>999</v>
      </c>
      <c r="G1000">
        <v>91.2</v>
      </c>
      <c r="H1000" t="s">
        <v>1014</v>
      </c>
    </row>
    <row r="1001" spans="1:8">
      <c r="A1001">
        <v>2630</v>
      </c>
      <c r="B1001" t="s">
        <v>1050</v>
      </c>
      <c r="C1001">
        <v>61</v>
      </c>
      <c r="D1001">
        <v>5</v>
      </c>
      <c r="E1001">
        <v>305</v>
      </c>
      <c r="F1001">
        <v>1000</v>
      </c>
      <c r="G1001">
        <v>91.2</v>
      </c>
      <c r="H1001" t="s">
        <v>1014</v>
      </c>
    </row>
    <row r="1002" spans="1:8">
      <c r="A1002">
        <v>522</v>
      </c>
      <c r="B1002" t="s">
        <v>1051</v>
      </c>
      <c r="C1002">
        <v>50</v>
      </c>
      <c r="D1002">
        <v>6</v>
      </c>
      <c r="E1002">
        <v>300</v>
      </c>
      <c r="F1002">
        <v>1001</v>
      </c>
      <c r="G1002">
        <v>91.2</v>
      </c>
      <c r="H1002" t="s">
        <v>1014</v>
      </c>
    </row>
    <row r="1003" spans="1:8">
      <c r="A1003">
        <v>2709</v>
      </c>
      <c r="B1003" t="s">
        <v>1052</v>
      </c>
      <c r="C1003">
        <v>50</v>
      </c>
      <c r="D1003">
        <v>6</v>
      </c>
      <c r="E1003">
        <v>300</v>
      </c>
      <c r="F1003">
        <v>1002</v>
      </c>
      <c r="G1003">
        <v>91.3</v>
      </c>
      <c r="H1003" t="s">
        <v>1014</v>
      </c>
    </row>
    <row r="1004" spans="1:8">
      <c r="A1004">
        <v>2766</v>
      </c>
      <c r="B1004" t="s">
        <v>1053</v>
      </c>
      <c r="C1004">
        <v>50</v>
      </c>
      <c r="D1004">
        <v>6</v>
      </c>
      <c r="E1004">
        <v>300</v>
      </c>
      <c r="F1004">
        <v>1003</v>
      </c>
      <c r="G1004">
        <v>91.3</v>
      </c>
      <c r="H1004" t="s">
        <v>1014</v>
      </c>
    </row>
    <row r="1005" spans="1:8">
      <c r="A1005">
        <v>3005</v>
      </c>
      <c r="B1005" t="s">
        <v>150</v>
      </c>
      <c r="C1005">
        <v>50</v>
      </c>
      <c r="D1005">
        <v>6</v>
      </c>
      <c r="E1005">
        <v>300</v>
      </c>
      <c r="F1005">
        <v>1004</v>
      </c>
      <c r="G1005">
        <v>91.3</v>
      </c>
      <c r="H1005" t="s">
        <v>1014</v>
      </c>
    </row>
    <row r="1006" spans="1:8">
      <c r="A1006">
        <v>3530</v>
      </c>
      <c r="B1006" t="s">
        <v>1054</v>
      </c>
      <c r="C1006">
        <v>75</v>
      </c>
      <c r="D1006">
        <v>4</v>
      </c>
      <c r="E1006">
        <v>300</v>
      </c>
      <c r="F1006">
        <v>1005</v>
      </c>
      <c r="G1006">
        <v>91.4</v>
      </c>
      <c r="H1006" t="s">
        <v>1014</v>
      </c>
    </row>
    <row r="1007" spans="1:8">
      <c r="A1007">
        <v>3543</v>
      </c>
      <c r="B1007" t="s">
        <v>1055</v>
      </c>
      <c r="C1007">
        <v>150</v>
      </c>
      <c r="D1007">
        <v>2</v>
      </c>
      <c r="E1007">
        <v>300</v>
      </c>
      <c r="F1007">
        <v>1006</v>
      </c>
      <c r="G1007">
        <v>91.4</v>
      </c>
      <c r="H1007" t="s">
        <v>1014</v>
      </c>
    </row>
    <row r="1008" spans="1:8">
      <c r="A1008">
        <v>163</v>
      </c>
      <c r="B1008" t="s">
        <v>1056</v>
      </c>
      <c r="C1008">
        <v>299</v>
      </c>
      <c r="D1008">
        <v>1</v>
      </c>
      <c r="E1008">
        <v>299</v>
      </c>
      <c r="F1008">
        <v>1007</v>
      </c>
      <c r="G1008">
        <v>91.4</v>
      </c>
      <c r="H1008" t="s">
        <v>1014</v>
      </c>
    </row>
    <row r="1009" spans="1:8">
      <c r="A1009">
        <v>543</v>
      </c>
      <c r="B1009" t="s">
        <v>1057</v>
      </c>
      <c r="C1009">
        <v>299</v>
      </c>
      <c r="D1009">
        <v>1</v>
      </c>
      <c r="E1009">
        <v>299</v>
      </c>
      <c r="F1009">
        <v>1008</v>
      </c>
      <c r="G1009">
        <v>91.4</v>
      </c>
      <c r="H1009" t="s">
        <v>1014</v>
      </c>
    </row>
    <row r="1010" spans="1:8">
      <c r="A1010">
        <v>2841</v>
      </c>
      <c r="B1010" t="s">
        <v>1058</v>
      </c>
      <c r="C1010">
        <v>149</v>
      </c>
      <c r="D1010">
        <v>2</v>
      </c>
      <c r="E1010">
        <v>298</v>
      </c>
      <c r="F1010">
        <v>1009</v>
      </c>
      <c r="G1010">
        <v>91.5</v>
      </c>
      <c r="H1010" t="s">
        <v>1014</v>
      </c>
    </row>
    <row r="1011" spans="1:8">
      <c r="A1011">
        <v>38</v>
      </c>
      <c r="B1011" t="s">
        <v>1059</v>
      </c>
      <c r="C1011">
        <v>99</v>
      </c>
      <c r="D1011">
        <v>3</v>
      </c>
      <c r="E1011">
        <v>297</v>
      </c>
      <c r="F1011">
        <v>1010</v>
      </c>
      <c r="G1011">
        <v>91.5</v>
      </c>
      <c r="H1011" t="s">
        <v>1014</v>
      </c>
    </row>
    <row r="1012" spans="1:8">
      <c r="A1012">
        <v>370</v>
      </c>
      <c r="B1012" t="s">
        <v>1060</v>
      </c>
      <c r="C1012">
        <v>297</v>
      </c>
      <c r="D1012">
        <v>1</v>
      </c>
      <c r="E1012">
        <v>297</v>
      </c>
      <c r="F1012">
        <v>1011</v>
      </c>
      <c r="G1012">
        <v>91.5</v>
      </c>
      <c r="H1012" t="s">
        <v>1014</v>
      </c>
    </row>
    <row r="1013" spans="1:8">
      <c r="A1013">
        <v>1597</v>
      </c>
      <c r="B1013" t="s">
        <v>1061</v>
      </c>
      <c r="C1013">
        <v>99</v>
      </c>
      <c r="D1013">
        <v>3</v>
      </c>
      <c r="E1013">
        <v>297</v>
      </c>
      <c r="F1013">
        <v>1012</v>
      </c>
      <c r="G1013">
        <v>91.6</v>
      </c>
      <c r="H1013" t="s">
        <v>1014</v>
      </c>
    </row>
    <row r="1014" spans="1:8">
      <c r="A1014">
        <v>2813</v>
      </c>
      <c r="B1014" t="s">
        <v>1062</v>
      </c>
      <c r="C1014">
        <v>99</v>
      </c>
      <c r="D1014">
        <v>3</v>
      </c>
      <c r="E1014">
        <v>297</v>
      </c>
      <c r="F1014">
        <v>1013</v>
      </c>
      <c r="G1014">
        <v>91.6</v>
      </c>
      <c r="H1014" t="s">
        <v>1014</v>
      </c>
    </row>
    <row r="1015" spans="1:8">
      <c r="A1015">
        <v>2837</v>
      </c>
      <c r="B1015" t="s">
        <v>1063</v>
      </c>
      <c r="C1015">
        <v>99</v>
      </c>
      <c r="D1015">
        <v>3</v>
      </c>
      <c r="E1015">
        <v>297</v>
      </c>
      <c r="F1015">
        <v>1014</v>
      </c>
      <c r="G1015">
        <v>91.6</v>
      </c>
      <c r="H1015" t="s">
        <v>1014</v>
      </c>
    </row>
    <row r="1016" spans="1:8">
      <c r="A1016">
        <v>2838</v>
      </c>
      <c r="B1016" t="s">
        <v>1064</v>
      </c>
      <c r="C1016">
        <v>99</v>
      </c>
      <c r="D1016">
        <v>3</v>
      </c>
      <c r="E1016">
        <v>297</v>
      </c>
      <c r="F1016">
        <v>1015</v>
      </c>
      <c r="G1016">
        <v>91.6</v>
      </c>
      <c r="H1016" t="s">
        <v>1014</v>
      </c>
    </row>
    <row r="1017" spans="1:8">
      <c r="A1017">
        <v>113</v>
      </c>
      <c r="B1017" t="s">
        <v>1065</v>
      </c>
      <c r="C1017">
        <v>49</v>
      </c>
      <c r="D1017">
        <v>6</v>
      </c>
      <c r="E1017">
        <v>294</v>
      </c>
      <c r="F1017">
        <v>1016</v>
      </c>
      <c r="G1017">
        <v>91.7</v>
      </c>
      <c r="H1017" t="s">
        <v>1014</v>
      </c>
    </row>
    <row r="1018" spans="1:8">
      <c r="A1018">
        <v>303</v>
      </c>
      <c r="B1018" t="s">
        <v>1066</v>
      </c>
      <c r="C1018">
        <v>49</v>
      </c>
      <c r="D1018">
        <v>6</v>
      </c>
      <c r="E1018">
        <v>294</v>
      </c>
      <c r="F1018">
        <v>1017</v>
      </c>
      <c r="G1018">
        <v>91.7</v>
      </c>
      <c r="H1018" t="s">
        <v>1014</v>
      </c>
    </row>
    <row r="1019" spans="1:8">
      <c r="A1019">
        <v>422</v>
      </c>
      <c r="B1019" t="s">
        <v>1067</v>
      </c>
      <c r="C1019">
        <v>49</v>
      </c>
      <c r="D1019">
        <v>6</v>
      </c>
      <c r="E1019">
        <v>294</v>
      </c>
      <c r="F1019">
        <v>1018</v>
      </c>
      <c r="G1019">
        <v>91.7</v>
      </c>
      <c r="H1019" t="s">
        <v>1014</v>
      </c>
    </row>
    <row r="1020" spans="1:8">
      <c r="A1020">
        <v>467</v>
      </c>
      <c r="B1020" t="s">
        <v>1068</v>
      </c>
      <c r="C1020">
        <v>49</v>
      </c>
      <c r="D1020">
        <v>6</v>
      </c>
      <c r="E1020">
        <v>294</v>
      </c>
      <c r="F1020">
        <v>1019</v>
      </c>
      <c r="G1020">
        <v>91.8</v>
      </c>
      <c r="H1020" t="s">
        <v>1014</v>
      </c>
    </row>
    <row r="1021" spans="1:8">
      <c r="A1021">
        <v>1125</v>
      </c>
      <c r="B1021" t="s">
        <v>124</v>
      </c>
      <c r="C1021">
        <v>49</v>
      </c>
      <c r="D1021">
        <v>6</v>
      </c>
      <c r="E1021">
        <v>294</v>
      </c>
      <c r="F1021">
        <v>1020</v>
      </c>
      <c r="G1021">
        <v>91.8</v>
      </c>
      <c r="H1021" t="s">
        <v>1014</v>
      </c>
    </row>
    <row r="1022" spans="1:8">
      <c r="A1022">
        <v>1515</v>
      </c>
      <c r="B1022" t="s">
        <v>1069</v>
      </c>
      <c r="C1022">
        <v>294</v>
      </c>
      <c r="D1022">
        <v>1</v>
      </c>
      <c r="E1022">
        <v>294</v>
      </c>
      <c r="F1022">
        <v>1021</v>
      </c>
      <c r="G1022">
        <v>91.8</v>
      </c>
      <c r="H1022" t="s">
        <v>1014</v>
      </c>
    </row>
    <row r="1023" spans="1:8">
      <c r="A1023">
        <v>3479</v>
      </c>
      <c r="B1023" t="s">
        <v>1070</v>
      </c>
      <c r="C1023">
        <v>49</v>
      </c>
      <c r="D1023">
        <v>6</v>
      </c>
      <c r="E1023">
        <v>294</v>
      </c>
      <c r="F1023">
        <v>1022</v>
      </c>
      <c r="G1023">
        <v>91.8</v>
      </c>
      <c r="H1023" t="s">
        <v>1014</v>
      </c>
    </row>
    <row r="1024" spans="1:8">
      <c r="A1024">
        <v>3528</v>
      </c>
      <c r="B1024" t="s">
        <v>1071</v>
      </c>
      <c r="C1024">
        <v>49</v>
      </c>
      <c r="D1024">
        <v>6</v>
      </c>
      <c r="E1024">
        <v>294</v>
      </c>
      <c r="F1024">
        <v>1023</v>
      </c>
      <c r="G1024">
        <v>91.9</v>
      </c>
      <c r="H1024" t="s">
        <v>1014</v>
      </c>
    </row>
    <row r="1025" spans="1:8">
      <c r="A1025">
        <v>3535</v>
      </c>
      <c r="B1025" t="s">
        <v>1072</v>
      </c>
      <c r="C1025">
        <v>49</v>
      </c>
      <c r="D1025">
        <v>6</v>
      </c>
      <c r="E1025">
        <v>294</v>
      </c>
      <c r="F1025">
        <v>1024</v>
      </c>
      <c r="G1025">
        <v>91.9</v>
      </c>
      <c r="H1025" t="s">
        <v>1014</v>
      </c>
    </row>
    <row r="1026" spans="1:8">
      <c r="A1026">
        <v>3601</v>
      </c>
      <c r="B1026" t="s">
        <v>1073</v>
      </c>
      <c r="C1026">
        <v>49</v>
      </c>
      <c r="D1026">
        <v>6</v>
      </c>
      <c r="E1026">
        <v>294</v>
      </c>
      <c r="F1026">
        <v>1025</v>
      </c>
      <c r="G1026">
        <v>91.9</v>
      </c>
      <c r="H1026" t="s">
        <v>1014</v>
      </c>
    </row>
    <row r="1027" spans="1:8">
      <c r="A1027">
        <v>252</v>
      </c>
      <c r="B1027" t="s">
        <v>1074</v>
      </c>
      <c r="C1027">
        <v>293</v>
      </c>
      <c r="D1027">
        <v>1</v>
      </c>
      <c r="E1027">
        <v>293</v>
      </c>
      <c r="F1027">
        <v>1026</v>
      </c>
      <c r="G1027">
        <v>91.9</v>
      </c>
      <c r="H1027" t="s">
        <v>1014</v>
      </c>
    </row>
    <row r="1028" spans="1:8">
      <c r="A1028">
        <v>2867</v>
      </c>
      <c r="B1028" t="s">
        <v>168</v>
      </c>
      <c r="C1028">
        <v>73</v>
      </c>
      <c r="D1028">
        <v>4</v>
      </c>
      <c r="E1028">
        <v>292</v>
      </c>
      <c r="F1028">
        <v>1027</v>
      </c>
      <c r="G1028">
        <v>92</v>
      </c>
      <c r="H1028" t="s">
        <v>1014</v>
      </c>
    </row>
    <row r="1029" spans="1:8">
      <c r="A1029">
        <v>3471</v>
      </c>
      <c r="B1029" t="s">
        <v>1075</v>
      </c>
      <c r="C1029">
        <v>58</v>
      </c>
      <c r="D1029">
        <v>5</v>
      </c>
      <c r="E1029">
        <v>290</v>
      </c>
      <c r="F1029">
        <v>1028</v>
      </c>
      <c r="G1029">
        <v>92</v>
      </c>
      <c r="H1029" t="s">
        <v>1014</v>
      </c>
    </row>
    <row r="1030" spans="1:8">
      <c r="A1030">
        <v>246</v>
      </c>
      <c r="B1030" t="s">
        <v>1076</v>
      </c>
      <c r="C1030">
        <v>72</v>
      </c>
      <c r="D1030">
        <v>4</v>
      </c>
      <c r="E1030">
        <v>288</v>
      </c>
      <c r="F1030">
        <v>1029</v>
      </c>
      <c r="G1030">
        <v>92</v>
      </c>
      <c r="H1030" t="s">
        <v>1014</v>
      </c>
    </row>
    <row r="1031" spans="1:8">
      <c r="A1031">
        <v>380</v>
      </c>
      <c r="B1031" t="s">
        <v>1077</v>
      </c>
      <c r="C1031">
        <v>48</v>
      </c>
      <c r="D1031">
        <v>6</v>
      </c>
      <c r="E1031">
        <v>288</v>
      </c>
      <c r="F1031">
        <v>1030</v>
      </c>
      <c r="G1031">
        <v>92.1</v>
      </c>
      <c r="H1031" t="s">
        <v>1014</v>
      </c>
    </row>
    <row r="1032" spans="1:8">
      <c r="A1032">
        <v>1382</v>
      </c>
      <c r="B1032" t="s">
        <v>1078</v>
      </c>
      <c r="C1032">
        <v>72</v>
      </c>
      <c r="D1032">
        <v>4</v>
      </c>
      <c r="E1032">
        <v>288</v>
      </c>
      <c r="F1032">
        <v>1031</v>
      </c>
      <c r="G1032">
        <v>92.1</v>
      </c>
      <c r="H1032" t="s">
        <v>1014</v>
      </c>
    </row>
    <row r="1033" spans="1:8">
      <c r="A1033">
        <v>1469</v>
      </c>
      <c r="B1033" t="s">
        <v>1079</v>
      </c>
      <c r="C1033">
        <v>48</v>
      </c>
      <c r="D1033">
        <v>6</v>
      </c>
      <c r="E1033">
        <v>288</v>
      </c>
      <c r="F1033">
        <v>1032</v>
      </c>
      <c r="G1033">
        <v>92.1</v>
      </c>
      <c r="H1033" t="s">
        <v>1014</v>
      </c>
    </row>
    <row r="1034" spans="1:8">
      <c r="A1034">
        <v>1518</v>
      </c>
      <c r="B1034" t="s">
        <v>1080</v>
      </c>
      <c r="C1034">
        <v>48</v>
      </c>
      <c r="D1034">
        <v>6</v>
      </c>
      <c r="E1034">
        <v>288</v>
      </c>
      <c r="F1034">
        <v>1033</v>
      </c>
      <c r="G1034">
        <v>92.1</v>
      </c>
      <c r="H1034" t="s">
        <v>1014</v>
      </c>
    </row>
    <row r="1035" spans="1:8">
      <c r="A1035">
        <v>1556</v>
      </c>
      <c r="B1035" t="s">
        <v>1081</v>
      </c>
      <c r="C1035">
        <v>48</v>
      </c>
      <c r="D1035">
        <v>6</v>
      </c>
      <c r="E1035">
        <v>288</v>
      </c>
      <c r="F1035">
        <v>1034</v>
      </c>
      <c r="G1035">
        <v>92.2</v>
      </c>
      <c r="H1035" t="s">
        <v>1014</v>
      </c>
    </row>
    <row r="1036" spans="1:8">
      <c r="A1036">
        <v>2852</v>
      </c>
      <c r="B1036" t="s">
        <v>1082</v>
      </c>
      <c r="C1036">
        <v>72</v>
      </c>
      <c r="D1036">
        <v>4</v>
      </c>
      <c r="E1036">
        <v>288</v>
      </c>
      <c r="F1036">
        <v>1035</v>
      </c>
      <c r="G1036">
        <v>92.2</v>
      </c>
      <c r="H1036" t="s">
        <v>1014</v>
      </c>
    </row>
    <row r="1037" spans="1:8">
      <c r="A1037">
        <v>3505</v>
      </c>
      <c r="B1037" t="s">
        <v>1083</v>
      </c>
      <c r="C1037">
        <v>96</v>
      </c>
      <c r="D1037">
        <v>3</v>
      </c>
      <c r="E1037">
        <v>288</v>
      </c>
      <c r="F1037">
        <v>1036</v>
      </c>
      <c r="G1037">
        <v>92.2</v>
      </c>
      <c r="H1037" t="s">
        <v>1014</v>
      </c>
    </row>
    <row r="1038" spans="1:8">
      <c r="A1038">
        <v>3463</v>
      </c>
      <c r="B1038" t="s">
        <v>1084</v>
      </c>
      <c r="C1038">
        <v>143</v>
      </c>
      <c r="D1038">
        <v>2</v>
      </c>
      <c r="E1038">
        <v>286</v>
      </c>
      <c r="F1038">
        <v>1037</v>
      </c>
      <c r="G1038">
        <v>92.2</v>
      </c>
      <c r="H1038" t="s">
        <v>1014</v>
      </c>
    </row>
    <row r="1039" spans="1:8">
      <c r="A1039">
        <v>411</v>
      </c>
      <c r="B1039" t="s">
        <v>1085</v>
      </c>
      <c r="C1039">
        <v>57</v>
      </c>
      <c r="D1039">
        <v>5</v>
      </c>
      <c r="E1039">
        <v>285</v>
      </c>
      <c r="F1039">
        <v>1038</v>
      </c>
      <c r="G1039">
        <v>92.3</v>
      </c>
      <c r="H1039" t="s">
        <v>1014</v>
      </c>
    </row>
    <row r="1040" spans="1:8">
      <c r="A1040">
        <v>1159</v>
      </c>
      <c r="B1040" t="s">
        <v>1086</v>
      </c>
      <c r="C1040">
        <v>57</v>
      </c>
      <c r="D1040">
        <v>5</v>
      </c>
      <c r="E1040">
        <v>285</v>
      </c>
      <c r="F1040">
        <v>1039</v>
      </c>
      <c r="G1040">
        <v>92.3</v>
      </c>
      <c r="H1040" t="s">
        <v>1014</v>
      </c>
    </row>
    <row r="1041" spans="1:8">
      <c r="A1041">
        <v>1413</v>
      </c>
      <c r="B1041" t="s">
        <v>1087</v>
      </c>
      <c r="C1041">
        <v>57</v>
      </c>
      <c r="D1041">
        <v>5</v>
      </c>
      <c r="E1041">
        <v>285</v>
      </c>
      <c r="F1041">
        <v>1040</v>
      </c>
      <c r="G1041">
        <v>92.3</v>
      </c>
      <c r="H1041" t="s">
        <v>1014</v>
      </c>
    </row>
    <row r="1042" spans="1:8">
      <c r="A1042">
        <v>2804</v>
      </c>
      <c r="B1042" t="s">
        <v>1088</v>
      </c>
      <c r="C1042">
        <v>71</v>
      </c>
      <c r="D1042">
        <v>4</v>
      </c>
      <c r="E1042">
        <v>284</v>
      </c>
      <c r="F1042">
        <v>1041</v>
      </c>
      <c r="G1042">
        <v>92.4</v>
      </c>
      <c r="H1042" t="s">
        <v>1014</v>
      </c>
    </row>
    <row r="1043" spans="1:8">
      <c r="A1043">
        <v>3569</v>
      </c>
      <c r="B1043" t="s">
        <v>1089</v>
      </c>
      <c r="C1043">
        <v>71</v>
      </c>
      <c r="D1043">
        <v>4</v>
      </c>
      <c r="E1043">
        <v>284</v>
      </c>
      <c r="F1043">
        <v>1042</v>
      </c>
      <c r="G1043">
        <v>92.4</v>
      </c>
      <c r="H1043" t="s">
        <v>1014</v>
      </c>
    </row>
    <row r="1044" spans="1:8">
      <c r="A1044">
        <v>369</v>
      </c>
      <c r="B1044" t="s">
        <v>1090</v>
      </c>
      <c r="C1044">
        <v>47</v>
      </c>
      <c r="D1044">
        <v>6</v>
      </c>
      <c r="E1044">
        <v>282</v>
      </c>
      <c r="F1044">
        <v>1043</v>
      </c>
      <c r="G1044">
        <v>92.4</v>
      </c>
      <c r="H1044" t="s">
        <v>1014</v>
      </c>
    </row>
    <row r="1045" spans="1:8">
      <c r="A1045">
        <v>423</v>
      </c>
      <c r="B1045" t="s">
        <v>1091</v>
      </c>
      <c r="C1045">
        <v>47</v>
      </c>
      <c r="D1045">
        <v>6</v>
      </c>
      <c r="E1045">
        <v>282</v>
      </c>
      <c r="F1045">
        <v>1044</v>
      </c>
      <c r="G1045">
        <v>92.4</v>
      </c>
      <c r="H1045" t="s">
        <v>1014</v>
      </c>
    </row>
    <row r="1046" spans="1:8">
      <c r="A1046">
        <v>2655</v>
      </c>
      <c r="B1046" t="s">
        <v>1092</v>
      </c>
      <c r="C1046">
        <v>47</v>
      </c>
      <c r="D1046">
        <v>6</v>
      </c>
      <c r="E1046">
        <v>282</v>
      </c>
      <c r="F1046">
        <v>1045</v>
      </c>
      <c r="G1046">
        <v>92.5</v>
      </c>
      <c r="H1046" t="s">
        <v>1014</v>
      </c>
    </row>
    <row r="1047" spans="1:8">
      <c r="A1047">
        <v>2679</v>
      </c>
      <c r="B1047" t="s">
        <v>1093</v>
      </c>
      <c r="C1047">
        <v>47</v>
      </c>
      <c r="D1047">
        <v>6</v>
      </c>
      <c r="E1047">
        <v>282</v>
      </c>
      <c r="F1047">
        <v>1046</v>
      </c>
      <c r="G1047">
        <v>92.5</v>
      </c>
      <c r="H1047" t="s">
        <v>1014</v>
      </c>
    </row>
    <row r="1048" spans="1:8">
      <c r="A1048">
        <v>1185</v>
      </c>
      <c r="B1048" t="s">
        <v>1094</v>
      </c>
      <c r="C1048">
        <v>70</v>
      </c>
      <c r="D1048">
        <v>4</v>
      </c>
      <c r="E1048">
        <v>280</v>
      </c>
      <c r="F1048">
        <v>1047</v>
      </c>
      <c r="G1048">
        <v>92.5</v>
      </c>
      <c r="H1048" t="s">
        <v>1014</v>
      </c>
    </row>
    <row r="1049" spans="1:8">
      <c r="A1049">
        <v>1458</v>
      </c>
      <c r="B1049" t="s">
        <v>1095</v>
      </c>
      <c r="C1049">
        <v>70</v>
      </c>
      <c r="D1049">
        <v>4</v>
      </c>
      <c r="E1049">
        <v>280</v>
      </c>
      <c r="F1049">
        <v>1048</v>
      </c>
      <c r="G1049">
        <v>92.5</v>
      </c>
      <c r="H1049" t="s">
        <v>1014</v>
      </c>
    </row>
    <row r="1050" spans="1:8">
      <c r="A1050">
        <v>2615</v>
      </c>
      <c r="B1050" t="s">
        <v>1096</v>
      </c>
      <c r="C1050">
        <v>70</v>
      </c>
      <c r="D1050">
        <v>4</v>
      </c>
      <c r="E1050">
        <v>280</v>
      </c>
      <c r="F1050">
        <v>1049</v>
      </c>
      <c r="G1050">
        <v>92.6</v>
      </c>
      <c r="H1050" t="s">
        <v>1014</v>
      </c>
    </row>
    <row r="1051" spans="1:8">
      <c r="A1051">
        <v>3493</v>
      </c>
      <c r="B1051" t="s">
        <v>1097</v>
      </c>
      <c r="C1051">
        <v>56</v>
      </c>
      <c r="D1051">
        <v>5</v>
      </c>
      <c r="E1051">
        <v>280</v>
      </c>
      <c r="F1051">
        <v>1050</v>
      </c>
      <c r="G1051">
        <v>92.6</v>
      </c>
      <c r="H1051" t="s">
        <v>1014</v>
      </c>
    </row>
    <row r="1052" spans="1:8">
      <c r="A1052">
        <v>313</v>
      </c>
      <c r="B1052" t="s">
        <v>171</v>
      </c>
      <c r="C1052">
        <v>46</v>
      </c>
      <c r="D1052">
        <v>6</v>
      </c>
      <c r="E1052">
        <v>276</v>
      </c>
      <c r="F1052">
        <v>1051</v>
      </c>
      <c r="G1052">
        <v>92.6</v>
      </c>
      <c r="H1052" t="s">
        <v>1014</v>
      </c>
    </row>
    <row r="1053" spans="1:8">
      <c r="A1053">
        <v>3452</v>
      </c>
      <c r="B1053" t="s">
        <v>1098</v>
      </c>
      <c r="C1053">
        <v>46</v>
      </c>
      <c r="D1053">
        <v>6</v>
      </c>
      <c r="E1053">
        <v>276</v>
      </c>
      <c r="F1053">
        <v>1052</v>
      </c>
      <c r="G1053">
        <v>92.6</v>
      </c>
      <c r="H1053" t="s">
        <v>1014</v>
      </c>
    </row>
    <row r="1054" spans="1:8">
      <c r="A1054">
        <v>3572</v>
      </c>
      <c r="B1054" t="s">
        <v>1099</v>
      </c>
      <c r="C1054">
        <v>69</v>
      </c>
      <c r="D1054">
        <v>4</v>
      </c>
      <c r="E1054">
        <v>276</v>
      </c>
      <c r="F1054">
        <v>1053</v>
      </c>
      <c r="G1054">
        <v>92.7</v>
      </c>
      <c r="H1054" t="s">
        <v>1014</v>
      </c>
    </row>
    <row r="1055" spans="1:8">
      <c r="A1055">
        <v>1457</v>
      </c>
      <c r="B1055" t="s">
        <v>1100</v>
      </c>
      <c r="C1055">
        <v>55</v>
      </c>
      <c r="D1055">
        <v>5</v>
      </c>
      <c r="E1055">
        <v>275</v>
      </c>
      <c r="F1055">
        <v>1054</v>
      </c>
      <c r="G1055">
        <v>92.7</v>
      </c>
      <c r="H1055" t="s">
        <v>1014</v>
      </c>
    </row>
    <row r="1056" spans="1:8">
      <c r="A1056">
        <v>1647</v>
      </c>
      <c r="B1056" t="s">
        <v>1101</v>
      </c>
      <c r="C1056">
        <v>55</v>
      </c>
      <c r="D1056">
        <v>5</v>
      </c>
      <c r="E1056">
        <v>275</v>
      </c>
      <c r="F1056">
        <v>1055</v>
      </c>
      <c r="G1056">
        <v>92.7</v>
      </c>
      <c r="H1056" t="s">
        <v>1014</v>
      </c>
    </row>
    <row r="1057" spans="1:8">
      <c r="A1057">
        <v>1687</v>
      </c>
      <c r="B1057" t="s">
        <v>1102</v>
      </c>
      <c r="C1057">
        <v>55</v>
      </c>
      <c r="D1057">
        <v>5</v>
      </c>
      <c r="E1057">
        <v>275</v>
      </c>
      <c r="F1057">
        <v>1056</v>
      </c>
      <c r="G1057">
        <v>92.7</v>
      </c>
      <c r="H1057" t="s">
        <v>1014</v>
      </c>
    </row>
    <row r="1058" spans="1:8">
      <c r="A1058">
        <v>2556</v>
      </c>
      <c r="B1058" t="s">
        <v>1103</v>
      </c>
      <c r="C1058">
        <v>274</v>
      </c>
      <c r="D1058">
        <v>1</v>
      </c>
      <c r="E1058">
        <v>274</v>
      </c>
      <c r="F1058">
        <v>1057</v>
      </c>
      <c r="G1058">
        <v>92.8</v>
      </c>
      <c r="H1058" t="s">
        <v>1014</v>
      </c>
    </row>
    <row r="1059" spans="1:8">
      <c r="A1059">
        <v>345</v>
      </c>
      <c r="B1059" t="s">
        <v>1104</v>
      </c>
      <c r="C1059">
        <v>68</v>
      </c>
      <c r="D1059">
        <v>4</v>
      </c>
      <c r="E1059">
        <v>272</v>
      </c>
      <c r="F1059">
        <v>1058</v>
      </c>
      <c r="G1059">
        <v>92.8</v>
      </c>
      <c r="H1059" t="s">
        <v>1014</v>
      </c>
    </row>
    <row r="1060" spans="1:8">
      <c r="A1060">
        <v>386</v>
      </c>
      <c r="B1060" t="s">
        <v>1105</v>
      </c>
      <c r="C1060">
        <v>68</v>
      </c>
      <c r="D1060">
        <v>4</v>
      </c>
      <c r="E1060">
        <v>272</v>
      </c>
      <c r="F1060">
        <v>1059</v>
      </c>
      <c r="G1060">
        <v>92.8</v>
      </c>
      <c r="H1060" t="s">
        <v>1014</v>
      </c>
    </row>
    <row r="1061" spans="1:8">
      <c r="A1061">
        <v>1194</v>
      </c>
      <c r="B1061" t="s">
        <v>1106</v>
      </c>
      <c r="C1061">
        <v>68</v>
      </c>
      <c r="D1061">
        <v>4</v>
      </c>
      <c r="E1061">
        <v>272</v>
      </c>
      <c r="F1061">
        <v>1060</v>
      </c>
      <c r="G1061">
        <v>92.9</v>
      </c>
      <c r="H1061" t="s">
        <v>1014</v>
      </c>
    </row>
    <row r="1062" spans="1:8">
      <c r="A1062">
        <v>1700</v>
      </c>
      <c r="B1062" t="s">
        <v>1107</v>
      </c>
      <c r="C1062">
        <v>272</v>
      </c>
      <c r="D1062">
        <v>1</v>
      </c>
      <c r="E1062">
        <v>272</v>
      </c>
      <c r="F1062">
        <v>1061</v>
      </c>
      <c r="G1062">
        <v>92.9</v>
      </c>
      <c r="H1062" t="s">
        <v>1014</v>
      </c>
    </row>
    <row r="1063" spans="1:8">
      <c r="A1063">
        <v>2859</v>
      </c>
      <c r="B1063" t="s">
        <v>1108</v>
      </c>
      <c r="C1063">
        <v>68</v>
      </c>
      <c r="D1063">
        <v>4</v>
      </c>
      <c r="E1063">
        <v>272</v>
      </c>
      <c r="F1063">
        <v>1062</v>
      </c>
      <c r="G1063">
        <v>92.9</v>
      </c>
      <c r="H1063" t="s">
        <v>1014</v>
      </c>
    </row>
    <row r="1064" spans="1:8">
      <c r="A1064">
        <v>2981</v>
      </c>
      <c r="B1064" t="s">
        <v>1109</v>
      </c>
      <c r="C1064">
        <v>272</v>
      </c>
      <c r="D1064">
        <v>1</v>
      </c>
      <c r="E1064">
        <v>272</v>
      </c>
      <c r="F1064">
        <v>1063</v>
      </c>
      <c r="G1064">
        <v>92.9</v>
      </c>
      <c r="H1064" t="s">
        <v>1014</v>
      </c>
    </row>
    <row r="1065" spans="1:8">
      <c r="A1065">
        <v>74</v>
      </c>
      <c r="B1065" t="s">
        <v>1110</v>
      </c>
      <c r="C1065">
        <v>45</v>
      </c>
      <c r="D1065">
        <v>6</v>
      </c>
      <c r="E1065">
        <v>270</v>
      </c>
      <c r="F1065">
        <v>1064</v>
      </c>
      <c r="G1065">
        <v>93</v>
      </c>
      <c r="H1065" t="s">
        <v>1014</v>
      </c>
    </row>
    <row r="1066" spans="1:8">
      <c r="A1066">
        <v>76</v>
      </c>
      <c r="B1066" t="s">
        <v>1111</v>
      </c>
      <c r="C1066">
        <v>45</v>
      </c>
      <c r="D1066">
        <v>6</v>
      </c>
      <c r="E1066">
        <v>270</v>
      </c>
      <c r="F1066">
        <v>1065</v>
      </c>
      <c r="G1066">
        <v>93</v>
      </c>
      <c r="H1066" t="s">
        <v>1014</v>
      </c>
    </row>
    <row r="1067" spans="1:8">
      <c r="A1067">
        <v>204</v>
      </c>
      <c r="B1067" t="s">
        <v>1112</v>
      </c>
      <c r="C1067">
        <v>135</v>
      </c>
      <c r="D1067">
        <v>2</v>
      </c>
      <c r="E1067">
        <v>270</v>
      </c>
      <c r="F1067">
        <v>1066</v>
      </c>
      <c r="G1067">
        <v>93</v>
      </c>
      <c r="H1067" t="s">
        <v>1014</v>
      </c>
    </row>
    <row r="1068" spans="1:8">
      <c r="A1068">
        <v>272</v>
      </c>
      <c r="B1068" t="s">
        <v>1113</v>
      </c>
      <c r="C1068">
        <v>45</v>
      </c>
      <c r="D1068">
        <v>6</v>
      </c>
      <c r="E1068">
        <v>270</v>
      </c>
      <c r="F1068">
        <v>1067</v>
      </c>
      <c r="G1068">
        <v>93</v>
      </c>
      <c r="H1068" t="s">
        <v>1014</v>
      </c>
    </row>
    <row r="1069" spans="1:8">
      <c r="A1069">
        <v>304</v>
      </c>
      <c r="B1069" t="s">
        <v>1114</v>
      </c>
      <c r="C1069">
        <v>45</v>
      </c>
      <c r="D1069">
        <v>6</v>
      </c>
      <c r="E1069">
        <v>270</v>
      </c>
      <c r="F1069">
        <v>1068</v>
      </c>
      <c r="G1069">
        <v>93.1</v>
      </c>
      <c r="H1069" t="s">
        <v>1014</v>
      </c>
    </row>
    <row r="1070" spans="1:8">
      <c r="A1070">
        <v>449</v>
      </c>
      <c r="B1070" t="s">
        <v>171</v>
      </c>
      <c r="C1070">
        <v>54</v>
      </c>
      <c r="D1070">
        <v>5</v>
      </c>
      <c r="E1070">
        <v>270</v>
      </c>
      <c r="F1070">
        <v>1069</v>
      </c>
      <c r="G1070">
        <v>93.1</v>
      </c>
      <c r="H1070" t="s">
        <v>1014</v>
      </c>
    </row>
    <row r="1071" spans="1:8">
      <c r="A1071">
        <v>1154</v>
      </c>
      <c r="B1071" t="s">
        <v>1115</v>
      </c>
      <c r="C1071">
        <v>45</v>
      </c>
      <c r="D1071">
        <v>6</v>
      </c>
      <c r="E1071">
        <v>270</v>
      </c>
      <c r="F1071">
        <v>1070</v>
      </c>
      <c r="G1071">
        <v>93.1</v>
      </c>
      <c r="H1071" t="s">
        <v>1014</v>
      </c>
    </row>
    <row r="1072" spans="1:8">
      <c r="A1072">
        <v>1471</v>
      </c>
      <c r="B1072" t="s">
        <v>1116</v>
      </c>
      <c r="C1072">
        <v>45</v>
      </c>
      <c r="D1072">
        <v>6</v>
      </c>
      <c r="E1072">
        <v>270</v>
      </c>
      <c r="F1072">
        <v>1071</v>
      </c>
      <c r="G1072">
        <v>93.1</v>
      </c>
      <c r="H1072" t="s">
        <v>1014</v>
      </c>
    </row>
    <row r="1073" spans="1:8">
      <c r="A1073">
        <v>1561</v>
      </c>
      <c r="B1073" t="s">
        <v>1117</v>
      </c>
      <c r="C1073">
        <v>45</v>
      </c>
      <c r="D1073">
        <v>6</v>
      </c>
      <c r="E1073">
        <v>270</v>
      </c>
      <c r="F1073">
        <v>1072</v>
      </c>
      <c r="G1073">
        <v>93.2</v>
      </c>
      <c r="H1073" t="s">
        <v>1014</v>
      </c>
    </row>
    <row r="1074" spans="1:8">
      <c r="A1074">
        <v>3468</v>
      </c>
      <c r="B1074" t="s">
        <v>1118</v>
      </c>
      <c r="C1074">
        <v>135</v>
      </c>
      <c r="D1074">
        <v>2</v>
      </c>
      <c r="E1074">
        <v>270</v>
      </c>
      <c r="F1074">
        <v>1073</v>
      </c>
      <c r="G1074">
        <v>93.2</v>
      </c>
      <c r="H1074" t="s">
        <v>1014</v>
      </c>
    </row>
    <row r="1075" spans="1:8">
      <c r="A1075">
        <v>3609</v>
      </c>
      <c r="B1075" t="s">
        <v>1119</v>
      </c>
      <c r="C1075">
        <v>54</v>
      </c>
      <c r="D1075">
        <v>5</v>
      </c>
      <c r="E1075">
        <v>270</v>
      </c>
      <c r="F1075">
        <v>1074</v>
      </c>
      <c r="G1075">
        <v>93.2</v>
      </c>
      <c r="H1075" t="s">
        <v>1014</v>
      </c>
    </row>
    <row r="1076" spans="1:8">
      <c r="A1076">
        <v>39</v>
      </c>
      <c r="B1076" t="s">
        <v>1120</v>
      </c>
      <c r="C1076">
        <v>89</v>
      </c>
      <c r="D1076">
        <v>3</v>
      </c>
      <c r="E1076">
        <v>267</v>
      </c>
      <c r="F1076">
        <v>1075</v>
      </c>
      <c r="G1076">
        <v>93.2</v>
      </c>
      <c r="H1076" t="s">
        <v>1014</v>
      </c>
    </row>
    <row r="1077" spans="1:8">
      <c r="A1077">
        <v>2644</v>
      </c>
      <c r="B1077" t="s">
        <v>1121</v>
      </c>
      <c r="C1077">
        <v>89</v>
      </c>
      <c r="D1077">
        <v>3</v>
      </c>
      <c r="E1077">
        <v>267</v>
      </c>
      <c r="F1077">
        <v>1076</v>
      </c>
      <c r="G1077">
        <v>93.3</v>
      </c>
      <c r="H1077" t="s">
        <v>1014</v>
      </c>
    </row>
    <row r="1078" spans="1:8">
      <c r="A1078">
        <v>170</v>
      </c>
      <c r="B1078" t="s">
        <v>1122</v>
      </c>
      <c r="C1078">
        <v>44</v>
      </c>
      <c r="D1078">
        <v>6</v>
      </c>
      <c r="E1078">
        <v>264</v>
      </c>
      <c r="F1078">
        <v>1077</v>
      </c>
      <c r="G1078">
        <v>93.3</v>
      </c>
      <c r="H1078" t="s">
        <v>1014</v>
      </c>
    </row>
    <row r="1079" spans="1:8">
      <c r="A1079">
        <v>325</v>
      </c>
      <c r="B1079" t="s">
        <v>1123</v>
      </c>
      <c r="C1079">
        <v>44</v>
      </c>
      <c r="D1079">
        <v>6</v>
      </c>
      <c r="E1079">
        <v>264</v>
      </c>
      <c r="F1079">
        <v>1078</v>
      </c>
      <c r="G1079">
        <v>93.3</v>
      </c>
      <c r="H1079" t="s">
        <v>1014</v>
      </c>
    </row>
    <row r="1080" spans="1:8">
      <c r="A1080">
        <v>326</v>
      </c>
      <c r="B1080" t="s">
        <v>1124</v>
      </c>
      <c r="C1080">
        <v>44</v>
      </c>
      <c r="D1080">
        <v>6</v>
      </c>
      <c r="E1080">
        <v>264</v>
      </c>
      <c r="F1080">
        <v>1079</v>
      </c>
      <c r="G1080">
        <v>93.3</v>
      </c>
      <c r="H1080" t="s">
        <v>1014</v>
      </c>
    </row>
    <row r="1081" spans="1:8">
      <c r="A1081">
        <v>404</v>
      </c>
      <c r="B1081" t="s">
        <v>1125</v>
      </c>
      <c r="C1081">
        <v>44</v>
      </c>
      <c r="D1081">
        <v>6</v>
      </c>
      <c r="E1081">
        <v>264</v>
      </c>
      <c r="F1081">
        <v>1080</v>
      </c>
      <c r="G1081">
        <v>93.4</v>
      </c>
      <c r="H1081" t="s">
        <v>1014</v>
      </c>
    </row>
    <row r="1082" spans="1:8">
      <c r="A1082">
        <v>418</v>
      </c>
      <c r="B1082" t="s">
        <v>1126</v>
      </c>
      <c r="C1082">
        <v>44</v>
      </c>
      <c r="D1082">
        <v>6</v>
      </c>
      <c r="E1082">
        <v>264</v>
      </c>
      <c r="F1082">
        <v>1081</v>
      </c>
      <c r="G1082">
        <v>93.4</v>
      </c>
      <c r="H1082" t="s">
        <v>1014</v>
      </c>
    </row>
    <row r="1083" spans="1:8">
      <c r="A1083">
        <v>447</v>
      </c>
      <c r="B1083" t="s">
        <v>1127</v>
      </c>
      <c r="C1083">
        <v>44</v>
      </c>
      <c r="D1083">
        <v>6</v>
      </c>
      <c r="E1083">
        <v>264</v>
      </c>
      <c r="F1083">
        <v>1082</v>
      </c>
      <c r="G1083">
        <v>93.4</v>
      </c>
      <c r="H1083" t="s">
        <v>1014</v>
      </c>
    </row>
    <row r="1084" spans="1:8">
      <c r="A1084">
        <v>535</v>
      </c>
      <c r="B1084" t="s">
        <v>1128</v>
      </c>
      <c r="C1084">
        <v>44</v>
      </c>
      <c r="D1084">
        <v>6</v>
      </c>
      <c r="E1084">
        <v>264</v>
      </c>
      <c r="F1084">
        <v>1083</v>
      </c>
      <c r="G1084">
        <v>93.4</v>
      </c>
      <c r="H1084" t="s">
        <v>1014</v>
      </c>
    </row>
    <row r="1085" spans="1:8">
      <c r="A1085">
        <v>1440</v>
      </c>
      <c r="B1085" t="s">
        <v>1129</v>
      </c>
      <c r="C1085">
        <v>44</v>
      </c>
      <c r="D1085">
        <v>6</v>
      </c>
      <c r="E1085">
        <v>264</v>
      </c>
      <c r="F1085">
        <v>1084</v>
      </c>
      <c r="G1085">
        <v>93.5</v>
      </c>
      <c r="H1085" t="s">
        <v>1014</v>
      </c>
    </row>
    <row r="1086" spans="1:8">
      <c r="A1086">
        <v>1441</v>
      </c>
      <c r="B1086" t="s">
        <v>1130</v>
      </c>
      <c r="C1086">
        <v>44</v>
      </c>
      <c r="D1086">
        <v>6</v>
      </c>
      <c r="E1086">
        <v>264</v>
      </c>
      <c r="F1086">
        <v>1085</v>
      </c>
      <c r="G1086">
        <v>93.5</v>
      </c>
      <c r="H1086" t="s">
        <v>1014</v>
      </c>
    </row>
    <row r="1087" spans="1:8">
      <c r="A1087">
        <v>1487</v>
      </c>
      <c r="B1087" t="s">
        <v>1131</v>
      </c>
      <c r="C1087">
        <v>44</v>
      </c>
      <c r="D1087">
        <v>6</v>
      </c>
      <c r="E1087">
        <v>264</v>
      </c>
      <c r="F1087">
        <v>1086</v>
      </c>
      <c r="G1087">
        <v>93.5</v>
      </c>
      <c r="H1087" t="s">
        <v>1014</v>
      </c>
    </row>
    <row r="1088" spans="1:8">
      <c r="A1088">
        <v>3041</v>
      </c>
      <c r="B1088" t="s">
        <v>135</v>
      </c>
      <c r="C1088">
        <v>264</v>
      </c>
      <c r="D1088">
        <v>1</v>
      </c>
      <c r="E1088">
        <v>264</v>
      </c>
      <c r="F1088">
        <v>1087</v>
      </c>
      <c r="G1088">
        <v>93.5</v>
      </c>
      <c r="H1088" t="s">
        <v>1014</v>
      </c>
    </row>
    <row r="1089" spans="1:8">
      <c r="A1089">
        <v>3483</v>
      </c>
      <c r="B1089" t="s">
        <v>1132</v>
      </c>
      <c r="C1089">
        <v>44</v>
      </c>
      <c r="D1089">
        <v>6</v>
      </c>
      <c r="E1089">
        <v>264</v>
      </c>
      <c r="F1089">
        <v>1088</v>
      </c>
      <c r="G1089">
        <v>93.6</v>
      </c>
      <c r="H1089" t="s">
        <v>1014</v>
      </c>
    </row>
    <row r="1090" spans="1:8">
      <c r="A1090">
        <v>2656</v>
      </c>
      <c r="B1090" t="s">
        <v>136</v>
      </c>
      <c r="C1090">
        <v>131</v>
      </c>
      <c r="D1090">
        <v>2</v>
      </c>
      <c r="E1090">
        <v>262</v>
      </c>
      <c r="F1090">
        <v>1089</v>
      </c>
      <c r="G1090">
        <v>93.6</v>
      </c>
      <c r="H1090" t="s">
        <v>1014</v>
      </c>
    </row>
    <row r="1091" spans="1:8">
      <c r="A1091">
        <v>348</v>
      </c>
      <c r="B1091" t="s">
        <v>1133</v>
      </c>
      <c r="C1091">
        <v>52</v>
      </c>
      <c r="D1091">
        <v>5</v>
      </c>
      <c r="E1091">
        <v>260</v>
      </c>
      <c r="F1091">
        <v>1090</v>
      </c>
      <c r="G1091">
        <v>93.6</v>
      </c>
      <c r="H1091" t="s">
        <v>1014</v>
      </c>
    </row>
    <row r="1092" spans="1:8">
      <c r="A1092">
        <v>421</v>
      </c>
      <c r="B1092" t="s">
        <v>1134</v>
      </c>
      <c r="C1092">
        <v>52</v>
      </c>
      <c r="D1092">
        <v>5</v>
      </c>
      <c r="E1092">
        <v>260</v>
      </c>
      <c r="F1092">
        <v>1091</v>
      </c>
      <c r="G1092">
        <v>93.6</v>
      </c>
      <c r="H1092" t="s">
        <v>1014</v>
      </c>
    </row>
    <row r="1093" spans="1:8">
      <c r="A1093">
        <v>482</v>
      </c>
      <c r="B1093" t="s">
        <v>1135</v>
      </c>
      <c r="C1093">
        <v>52</v>
      </c>
      <c r="D1093">
        <v>5</v>
      </c>
      <c r="E1093">
        <v>260</v>
      </c>
      <c r="F1093">
        <v>1092</v>
      </c>
      <c r="G1093">
        <v>93.7</v>
      </c>
      <c r="H1093" t="s">
        <v>1014</v>
      </c>
    </row>
    <row r="1094" spans="1:8">
      <c r="A1094">
        <v>2832</v>
      </c>
      <c r="B1094" t="s">
        <v>1136</v>
      </c>
      <c r="C1094">
        <v>65</v>
      </c>
      <c r="D1094">
        <v>4</v>
      </c>
      <c r="E1094">
        <v>260</v>
      </c>
      <c r="F1094">
        <v>1093</v>
      </c>
      <c r="G1094">
        <v>93.7</v>
      </c>
      <c r="H1094" t="s">
        <v>1014</v>
      </c>
    </row>
    <row r="1095" spans="1:8">
      <c r="A1095">
        <v>230</v>
      </c>
      <c r="B1095" t="s">
        <v>1137</v>
      </c>
      <c r="C1095">
        <v>43</v>
      </c>
      <c r="D1095">
        <v>6</v>
      </c>
      <c r="E1095">
        <v>258</v>
      </c>
      <c r="F1095">
        <v>1094</v>
      </c>
      <c r="G1095">
        <v>93.7</v>
      </c>
      <c r="H1095" t="s">
        <v>1014</v>
      </c>
    </row>
    <row r="1096" spans="1:8">
      <c r="A1096">
        <v>374</v>
      </c>
      <c r="B1096" t="s">
        <v>1138</v>
      </c>
      <c r="C1096">
        <v>43</v>
      </c>
      <c r="D1096">
        <v>6</v>
      </c>
      <c r="E1096">
        <v>258</v>
      </c>
      <c r="F1096">
        <v>1095</v>
      </c>
      <c r="G1096">
        <v>93.7</v>
      </c>
      <c r="H1096" t="s">
        <v>1014</v>
      </c>
    </row>
    <row r="1097" spans="1:8">
      <c r="A1097">
        <v>3651</v>
      </c>
      <c r="B1097" t="s">
        <v>1139</v>
      </c>
      <c r="C1097">
        <v>129</v>
      </c>
      <c r="D1097">
        <v>2</v>
      </c>
      <c r="E1097">
        <v>258</v>
      </c>
      <c r="F1097">
        <v>1096</v>
      </c>
      <c r="G1097">
        <v>93.8</v>
      </c>
      <c r="H1097" t="s">
        <v>1014</v>
      </c>
    </row>
    <row r="1098" spans="1:8">
      <c r="A1098">
        <v>2800</v>
      </c>
      <c r="B1098" t="s">
        <v>154</v>
      </c>
      <c r="C1098">
        <v>128</v>
      </c>
      <c r="D1098">
        <v>2</v>
      </c>
      <c r="E1098">
        <v>256</v>
      </c>
      <c r="F1098">
        <v>1097</v>
      </c>
      <c r="G1098">
        <v>93.8</v>
      </c>
      <c r="H1098" t="s">
        <v>1014</v>
      </c>
    </row>
    <row r="1099" spans="1:8">
      <c r="A1099">
        <v>2627</v>
      </c>
      <c r="B1099" t="s">
        <v>1140</v>
      </c>
      <c r="C1099">
        <v>42</v>
      </c>
      <c r="D1099">
        <v>6</v>
      </c>
      <c r="E1099">
        <v>255</v>
      </c>
      <c r="F1099">
        <v>1098</v>
      </c>
      <c r="G1099">
        <v>93.8</v>
      </c>
      <c r="H1099" t="s">
        <v>1014</v>
      </c>
    </row>
    <row r="1100" spans="1:8">
      <c r="A1100">
        <v>3674</v>
      </c>
      <c r="B1100" t="s">
        <v>900</v>
      </c>
      <c r="C1100">
        <v>85</v>
      </c>
      <c r="D1100">
        <v>3</v>
      </c>
      <c r="E1100">
        <v>255</v>
      </c>
      <c r="F1100">
        <v>1099</v>
      </c>
      <c r="G1100">
        <v>93.8</v>
      </c>
      <c r="H1100" t="s">
        <v>1014</v>
      </c>
    </row>
    <row r="1101" spans="1:8">
      <c r="A1101">
        <v>22</v>
      </c>
      <c r="B1101" t="s">
        <v>126</v>
      </c>
      <c r="C1101">
        <v>84</v>
      </c>
      <c r="D1101">
        <v>3</v>
      </c>
      <c r="E1101">
        <v>252</v>
      </c>
      <c r="F1101">
        <v>1100</v>
      </c>
      <c r="G1101">
        <v>93.9</v>
      </c>
      <c r="H1101" t="s">
        <v>1014</v>
      </c>
    </row>
    <row r="1102" spans="1:8">
      <c r="A1102">
        <v>327</v>
      </c>
      <c r="B1102" t="s">
        <v>1141</v>
      </c>
      <c r="C1102">
        <v>63</v>
      </c>
      <c r="D1102">
        <v>4</v>
      </c>
      <c r="E1102">
        <v>252</v>
      </c>
      <c r="F1102">
        <v>1101</v>
      </c>
      <c r="G1102">
        <v>93.9</v>
      </c>
      <c r="H1102" t="s">
        <v>1014</v>
      </c>
    </row>
    <row r="1103" spans="1:8">
      <c r="A1103">
        <v>454</v>
      </c>
      <c r="B1103" t="s">
        <v>1142</v>
      </c>
      <c r="C1103">
        <v>42</v>
      </c>
      <c r="D1103">
        <v>6</v>
      </c>
      <c r="E1103">
        <v>252</v>
      </c>
      <c r="F1103">
        <v>1102</v>
      </c>
      <c r="G1103">
        <v>93.9</v>
      </c>
      <c r="H1103" t="s">
        <v>1014</v>
      </c>
    </row>
    <row r="1104" spans="1:8">
      <c r="A1104">
        <v>2649</v>
      </c>
      <c r="B1104" t="s">
        <v>1143</v>
      </c>
      <c r="C1104">
        <v>42</v>
      </c>
      <c r="D1104">
        <v>6</v>
      </c>
      <c r="E1104">
        <v>252</v>
      </c>
      <c r="F1104">
        <v>1103</v>
      </c>
      <c r="G1104">
        <v>93.9</v>
      </c>
      <c r="H1104" t="s">
        <v>1014</v>
      </c>
    </row>
    <row r="1105" spans="1:8">
      <c r="A1105">
        <v>3062</v>
      </c>
      <c r="B1105" t="s">
        <v>1144</v>
      </c>
      <c r="C1105">
        <v>252</v>
      </c>
      <c r="D1105">
        <v>1</v>
      </c>
      <c r="E1105">
        <v>252</v>
      </c>
      <c r="F1105">
        <v>1104</v>
      </c>
      <c r="G1105">
        <v>93.9</v>
      </c>
      <c r="H1105" t="s">
        <v>1014</v>
      </c>
    </row>
    <row r="1106" spans="1:8">
      <c r="A1106">
        <v>3503</v>
      </c>
      <c r="B1106" t="s">
        <v>1145</v>
      </c>
      <c r="C1106">
        <v>126</v>
      </c>
      <c r="D1106">
        <v>2</v>
      </c>
      <c r="E1106">
        <v>252</v>
      </c>
      <c r="F1106">
        <v>1105</v>
      </c>
      <c r="G1106">
        <v>94</v>
      </c>
      <c r="H1106" t="s">
        <v>1014</v>
      </c>
    </row>
    <row r="1107" spans="1:8">
      <c r="A1107">
        <v>3643</v>
      </c>
      <c r="B1107" t="s">
        <v>1146</v>
      </c>
      <c r="C1107">
        <v>42</v>
      </c>
      <c r="D1107">
        <v>6</v>
      </c>
      <c r="E1107">
        <v>252</v>
      </c>
      <c r="F1107">
        <v>1106</v>
      </c>
      <c r="G1107">
        <v>94</v>
      </c>
      <c r="H1107" t="s">
        <v>1014</v>
      </c>
    </row>
    <row r="1108" spans="1:8">
      <c r="A1108">
        <v>3652</v>
      </c>
      <c r="B1108" t="s">
        <v>1147</v>
      </c>
      <c r="C1108">
        <v>42</v>
      </c>
      <c r="D1108">
        <v>6</v>
      </c>
      <c r="E1108">
        <v>252</v>
      </c>
      <c r="F1108">
        <v>1107</v>
      </c>
      <c r="G1108">
        <v>94</v>
      </c>
      <c r="H1108" t="s">
        <v>1014</v>
      </c>
    </row>
    <row r="1109" spans="1:8">
      <c r="A1109">
        <v>3673</v>
      </c>
      <c r="B1109" t="s">
        <v>1148</v>
      </c>
      <c r="C1109">
        <v>42</v>
      </c>
      <c r="D1109">
        <v>6</v>
      </c>
      <c r="E1109">
        <v>252</v>
      </c>
      <c r="F1109">
        <v>1108</v>
      </c>
      <c r="G1109">
        <v>94</v>
      </c>
      <c r="H1109" t="s">
        <v>1014</v>
      </c>
    </row>
    <row r="1110" spans="1:8">
      <c r="A1110">
        <v>1650</v>
      </c>
      <c r="B1110" t="s">
        <v>1149</v>
      </c>
      <c r="C1110">
        <v>250</v>
      </c>
      <c r="D1110">
        <v>1</v>
      </c>
      <c r="E1110">
        <v>250</v>
      </c>
      <c r="F1110">
        <v>1109</v>
      </c>
      <c r="G1110">
        <v>94.1</v>
      </c>
      <c r="H1110" t="s">
        <v>1014</v>
      </c>
    </row>
    <row r="1111" spans="1:8">
      <c r="A1111">
        <v>2918</v>
      </c>
      <c r="B1111" t="s">
        <v>1150</v>
      </c>
      <c r="C1111">
        <v>250</v>
      </c>
      <c r="D1111">
        <v>1</v>
      </c>
      <c r="E1111">
        <v>250</v>
      </c>
      <c r="F1111">
        <v>1110</v>
      </c>
      <c r="G1111">
        <v>94.1</v>
      </c>
      <c r="H1111" t="s">
        <v>1014</v>
      </c>
    </row>
    <row r="1112" spans="1:8">
      <c r="A1112">
        <v>1592</v>
      </c>
      <c r="B1112" t="s">
        <v>1151</v>
      </c>
      <c r="C1112">
        <v>83</v>
      </c>
      <c r="D1112">
        <v>3</v>
      </c>
      <c r="E1112">
        <v>249</v>
      </c>
      <c r="F1112">
        <v>1111</v>
      </c>
      <c r="G1112">
        <v>94.1</v>
      </c>
      <c r="H1112" t="s">
        <v>1014</v>
      </c>
    </row>
    <row r="1113" spans="1:8">
      <c r="A1113">
        <v>1177</v>
      </c>
      <c r="B1113" t="s">
        <v>1152</v>
      </c>
      <c r="C1113">
        <v>62</v>
      </c>
      <c r="D1113">
        <v>4</v>
      </c>
      <c r="E1113">
        <v>248</v>
      </c>
      <c r="F1113">
        <v>1112</v>
      </c>
      <c r="G1113">
        <v>94.1</v>
      </c>
      <c r="H1113" t="s">
        <v>1014</v>
      </c>
    </row>
    <row r="1114" spans="1:8">
      <c r="A1114">
        <v>1189</v>
      </c>
      <c r="B1114" t="s">
        <v>1153</v>
      </c>
      <c r="C1114">
        <v>62</v>
      </c>
      <c r="D1114">
        <v>4</v>
      </c>
      <c r="E1114">
        <v>248</v>
      </c>
      <c r="F1114">
        <v>1113</v>
      </c>
      <c r="G1114">
        <v>94.2</v>
      </c>
      <c r="H1114" t="s">
        <v>1014</v>
      </c>
    </row>
    <row r="1115" spans="1:8">
      <c r="A1115">
        <v>2590</v>
      </c>
      <c r="B1115" t="s">
        <v>1154</v>
      </c>
      <c r="C1115">
        <v>247</v>
      </c>
      <c r="D1115">
        <v>1</v>
      </c>
      <c r="E1115">
        <v>247</v>
      </c>
      <c r="F1115">
        <v>1114</v>
      </c>
      <c r="G1115">
        <v>94.2</v>
      </c>
      <c r="H1115" t="s">
        <v>1014</v>
      </c>
    </row>
    <row r="1116" spans="1:8">
      <c r="A1116">
        <v>1428</v>
      </c>
      <c r="B1116" t="s">
        <v>1155</v>
      </c>
      <c r="C1116">
        <v>41</v>
      </c>
      <c r="D1116">
        <v>6</v>
      </c>
      <c r="E1116">
        <v>246</v>
      </c>
      <c r="F1116">
        <v>1115</v>
      </c>
      <c r="G1116">
        <v>94.2</v>
      </c>
      <c r="H1116" t="s">
        <v>1014</v>
      </c>
    </row>
    <row r="1117" spans="1:8">
      <c r="A1117">
        <v>1451</v>
      </c>
      <c r="B1117" t="s">
        <v>1156</v>
      </c>
      <c r="C1117">
        <v>41</v>
      </c>
      <c r="D1117">
        <v>6</v>
      </c>
      <c r="E1117">
        <v>246</v>
      </c>
      <c r="F1117">
        <v>1116</v>
      </c>
      <c r="G1117">
        <v>94.2</v>
      </c>
      <c r="H1117" t="s">
        <v>1014</v>
      </c>
    </row>
    <row r="1118" spans="1:8">
      <c r="A1118">
        <v>1478</v>
      </c>
      <c r="B1118" t="s">
        <v>1157</v>
      </c>
      <c r="C1118">
        <v>41</v>
      </c>
      <c r="D1118">
        <v>6</v>
      </c>
      <c r="E1118">
        <v>246</v>
      </c>
      <c r="F1118">
        <v>1117</v>
      </c>
      <c r="G1118">
        <v>94.3</v>
      </c>
      <c r="H1118" t="s">
        <v>1014</v>
      </c>
    </row>
    <row r="1119" spans="1:8">
      <c r="A1119">
        <v>3610</v>
      </c>
      <c r="B1119" t="s">
        <v>1158</v>
      </c>
      <c r="C1119">
        <v>41</v>
      </c>
      <c r="D1119">
        <v>6</v>
      </c>
      <c r="E1119">
        <v>246</v>
      </c>
      <c r="F1119">
        <v>1118</v>
      </c>
      <c r="G1119">
        <v>94.3</v>
      </c>
      <c r="H1119" t="s">
        <v>1014</v>
      </c>
    </row>
    <row r="1120" spans="1:8">
      <c r="A1120">
        <v>3682</v>
      </c>
      <c r="B1120" t="s">
        <v>1159</v>
      </c>
      <c r="C1120">
        <v>41</v>
      </c>
      <c r="D1120">
        <v>6</v>
      </c>
      <c r="E1120">
        <v>246</v>
      </c>
      <c r="F1120">
        <v>1119</v>
      </c>
      <c r="G1120">
        <v>94.3</v>
      </c>
      <c r="H1120" t="s">
        <v>1014</v>
      </c>
    </row>
    <row r="1121" spans="1:8">
      <c r="A1121">
        <v>405</v>
      </c>
      <c r="B1121" t="s">
        <v>1160</v>
      </c>
      <c r="C1121">
        <v>49</v>
      </c>
      <c r="D1121">
        <v>5</v>
      </c>
      <c r="E1121">
        <v>245</v>
      </c>
      <c r="F1121">
        <v>1120</v>
      </c>
      <c r="G1121">
        <v>94.3</v>
      </c>
      <c r="H1121" t="s">
        <v>1014</v>
      </c>
    </row>
    <row r="1122" spans="1:8">
      <c r="A1122">
        <v>1589</v>
      </c>
      <c r="B1122" t="s">
        <v>1161</v>
      </c>
      <c r="C1122">
        <v>122</v>
      </c>
      <c r="D1122">
        <v>2</v>
      </c>
      <c r="E1122">
        <v>244</v>
      </c>
      <c r="F1122">
        <v>1121</v>
      </c>
      <c r="G1122">
        <v>94.3</v>
      </c>
      <c r="H1122" t="s">
        <v>1014</v>
      </c>
    </row>
    <row r="1123" spans="1:8">
      <c r="A1123">
        <v>384</v>
      </c>
      <c r="B1123" t="s">
        <v>1162</v>
      </c>
      <c r="C1123">
        <v>81</v>
      </c>
      <c r="D1123">
        <v>3</v>
      </c>
      <c r="E1123">
        <v>243</v>
      </c>
      <c r="F1123">
        <v>1122</v>
      </c>
      <c r="G1123">
        <v>94.4</v>
      </c>
      <c r="H1123" t="s">
        <v>1014</v>
      </c>
    </row>
    <row r="1124" spans="1:8">
      <c r="A1124">
        <v>341</v>
      </c>
      <c r="B1124" t="s">
        <v>1163</v>
      </c>
      <c r="C1124">
        <v>60</v>
      </c>
      <c r="D1124">
        <v>4</v>
      </c>
      <c r="E1124">
        <v>240</v>
      </c>
      <c r="F1124">
        <v>1123</v>
      </c>
      <c r="G1124">
        <v>94.4</v>
      </c>
      <c r="H1124" t="s">
        <v>1014</v>
      </c>
    </row>
    <row r="1125" spans="1:8">
      <c r="A1125">
        <v>358</v>
      </c>
      <c r="B1125" t="s">
        <v>1164</v>
      </c>
      <c r="C1125">
        <v>60</v>
      </c>
      <c r="D1125">
        <v>4</v>
      </c>
      <c r="E1125">
        <v>240</v>
      </c>
      <c r="F1125">
        <v>1124</v>
      </c>
      <c r="G1125">
        <v>94.4</v>
      </c>
      <c r="H1125" t="s">
        <v>1014</v>
      </c>
    </row>
    <row r="1126" spans="1:8">
      <c r="A1126">
        <v>1595</v>
      </c>
      <c r="B1126" t="s">
        <v>130</v>
      </c>
      <c r="C1126">
        <v>60</v>
      </c>
      <c r="D1126">
        <v>4</v>
      </c>
      <c r="E1126">
        <v>240</v>
      </c>
      <c r="F1126">
        <v>1125</v>
      </c>
      <c r="G1126">
        <v>94.4</v>
      </c>
      <c r="H1126" t="s">
        <v>1014</v>
      </c>
    </row>
    <row r="1127" spans="1:8">
      <c r="A1127">
        <v>1635</v>
      </c>
      <c r="B1127" t="s">
        <v>1165</v>
      </c>
      <c r="C1127">
        <v>40</v>
      </c>
      <c r="D1127">
        <v>6</v>
      </c>
      <c r="E1127">
        <v>240</v>
      </c>
      <c r="F1127">
        <v>1126</v>
      </c>
      <c r="G1127">
        <v>94.5</v>
      </c>
      <c r="H1127" t="s">
        <v>1014</v>
      </c>
    </row>
    <row r="1128" spans="1:8">
      <c r="A1128">
        <v>2654</v>
      </c>
      <c r="B1128" t="s">
        <v>1166</v>
      </c>
      <c r="C1128">
        <v>40</v>
      </c>
      <c r="D1128">
        <v>6</v>
      </c>
      <c r="E1128">
        <v>240</v>
      </c>
      <c r="F1128">
        <v>1127</v>
      </c>
      <c r="G1128">
        <v>94.5</v>
      </c>
      <c r="H1128" t="s">
        <v>1014</v>
      </c>
    </row>
    <row r="1129" spans="1:8">
      <c r="A1129">
        <v>2672</v>
      </c>
      <c r="B1129" t="s">
        <v>1167</v>
      </c>
      <c r="C1129">
        <v>40</v>
      </c>
      <c r="D1129">
        <v>6</v>
      </c>
      <c r="E1129">
        <v>240</v>
      </c>
      <c r="F1129">
        <v>1128</v>
      </c>
      <c r="G1129">
        <v>94.5</v>
      </c>
      <c r="H1129" t="s">
        <v>1014</v>
      </c>
    </row>
    <row r="1130" spans="1:8">
      <c r="A1130">
        <v>2677</v>
      </c>
      <c r="B1130" t="s">
        <v>1168</v>
      </c>
      <c r="C1130">
        <v>40</v>
      </c>
      <c r="D1130">
        <v>6</v>
      </c>
      <c r="E1130">
        <v>240</v>
      </c>
      <c r="F1130">
        <v>1129</v>
      </c>
      <c r="G1130">
        <v>94.5</v>
      </c>
      <c r="H1130" t="s">
        <v>1014</v>
      </c>
    </row>
    <row r="1131" spans="1:8">
      <c r="A1131">
        <v>63</v>
      </c>
      <c r="B1131" t="s">
        <v>1169</v>
      </c>
      <c r="C1131">
        <v>79</v>
      </c>
      <c r="D1131">
        <v>3</v>
      </c>
      <c r="E1131">
        <v>237</v>
      </c>
      <c r="F1131">
        <v>1130</v>
      </c>
      <c r="G1131">
        <v>94.5</v>
      </c>
      <c r="H1131" t="s">
        <v>1014</v>
      </c>
    </row>
    <row r="1132" spans="1:8">
      <c r="A1132">
        <v>397</v>
      </c>
      <c r="B1132" t="s">
        <v>1170</v>
      </c>
      <c r="C1132">
        <v>79</v>
      </c>
      <c r="D1132">
        <v>3</v>
      </c>
      <c r="E1132">
        <v>237</v>
      </c>
      <c r="F1132">
        <v>1131</v>
      </c>
      <c r="G1132">
        <v>94.6</v>
      </c>
      <c r="H1132" t="s">
        <v>1014</v>
      </c>
    </row>
    <row r="1133" spans="1:8">
      <c r="A1133">
        <v>229</v>
      </c>
      <c r="B1133" t="s">
        <v>1171</v>
      </c>
      <c r="C1133">
        <v>118</v>
      </c>
      <c r="D1133">
        <v>2</v>
      </c>
      <c r="E1133">
        <v>236</v>
      </c>
      <c r="F1133">
        <v>1132</v>
      </c>
      <c r="G1133">
        <v>94.6</v>
      </c>
      <c r="H1133" t="s">
        <v>1014</v>
      </c>
    </row>
    <row r="1134" spans="1:8">
      <c r="A1134">
        <v>3476</v>
      </c>
      <c r="B1134" t="s">
        <v>1172</v>
      </c>
      <c r="C1134">
        <v>59</v>
      </c>
      <c r="D1134">
        <v>4</v>
      </c>
      <c r="E1134">
        <v>236</v>
      </c>
      <c r="F1134">
        <v>1133</v>
      </c>
      <c r="G1134">
        <v>94.6</v>
      </c>
      <c r="H1134" t="s">
        <v>1014</v>
      </c>
    </row>
    <row r="1135" spans="1:8">
      <c r="A1135">
        <v>342</v>
      </c>
      <c r="B1135" t="s">
        <v>1173</v>
      </c>
      <c r="C1135">
        <v>47</v>
      </c>
      <c r="D1135">
        <v>5</v>
      </c>
      <c r="E1135">
        <v>235</v>
      </c>
      <c r="F1135">
        <v>1134</v>
      </c>
      <c r="G1135">
        <v>94.6</v>
      </c>
      <c r="H1135" t="s">
        <v>1014</v>
      </c>
    </row>
    <row r="1136" spans="1:8">
      <c r="A1136">
        <v>238</v>
      </c>
      <c r="B1136" t="s">
        <v>1174</v>
      </c>
      <c r="C1136">
        <v>39</v>
      </c>
      <c r="D1136">
        <v>6</v>
      </c>
      <c r="E1136">
        <v>234</v>
      </c>
      <c r="F1136">
        <v>1135</v>
      </c>
      <c r="G1136">
        <v>94.7</v>
      </c>
      <c r="H1136" t="s">
        <v>1014</v>
      </c>
    </row>
    <row r="1137" spans="1:8">
      <c r="A1137">
        <v>310</v>
      </c>
      <c r="B1137" t="s">
        <v>1175</v>
      </c>
      <c r="C1137">
        <v>39</v>
      </c>
      <c r="D1137">
        <v>6</v>
      </c>
      <c r="E1137">
        <v>234</v>
      </c>
      <c r="F1137">
        <v>1136</v>
      </c>
      <c r="G1137">
        <v>94.7</v>
      </c>
      <c r="H1137" t="s">
        <v>1014</v>
      </c>
    </row>
    <row r="1138" spans="1:8">
      <c r="A1138">
        <v>378</v>
      </c>
      <c r="B1138" t="s">
        <v>420</v>
      </c>
      <c r="C1138">
        <v>39</v>
      </c>
      <c r="D1138">
        <v>6</v>
      </c>
      <c r="E1138">
        <v>234</v>
      </c>
      <c r="F1138">
        <v>1137</v>
      </c>
      <c r="G1138">
        <v>94.7</v>
      </c>
      <c r="H1138" t="s">
        <v>1014</v>
      </c>
    </row>
    <row r="1139" spans="1:8">
      <c r="A1139">
        <v>495</v>
      </c>
      <c r="B1139" t="s">
        <v>1176</v>
      </c>
      <c r="C1139">
        <v>39</v>
      </c>
      <c r="D1139">
        <v>6</v>
      </c>
      <c r="E1139">
        <v>234</v>
      </c>
      <c r="F1139">
        <v>1138</v>
      </c>
      <c r="G1139">
        <v>94.7</v>
      </c>
      <c r="H1139" t="s">
        <v>1014</v>
      </c>
    </row>
    <row r="1140" spans="1:8">
      <c r="A1140">
        <v>2799</v>
      </c>
      <c r="B1140" t="s">
        <v>1177</v>
      </c>
      <c r="C1140">
        <v>117</v>
      </c>
      <c r="D1140">
        <v>2</v>
      </c>
      <c r="E1140">
        <v>234</v>
      </c>
      <c r="F1140">
        <v>1139</v>
      </c>
      <c r="G1140">
        <v>94.7</v>
      </c>
      <c r="H1140" t="s">
        <v>1014</v>
      </c>
    </row>
    <row r="1141" spans="1:8">
      <c r="A1141">
        <v>3487</v>
      </c>
      <c r="B1141" t="s">
        <v>1178</v>
      </c>
      <c r="C1141">
        <v>39</v>
      </c>
      <c r="D1141">
        <v>6</v>
      </c>
      <c r="E1141">
        <v>234</v>
      </c>
      <c r="F1141">
        <v>1140</v>
      </c>
      <c r="G1141">
        <v>94.8</v>
      </c>
      <c r="H1141" t="s">
        <v>1014</v>
      </c>
    </row>
    <row r="1142" spans="1:8">
      <c r="A1142">
        <v>3654</v>
      </c>
      <c r="B1142" t="s">
        <v>1179</v>
      </c>
      <c r="C1142">
        <v>39</v>
      </c>
      <c r="D1142">
        <v>6</v>
      </c>
      <c r="E1142">
        <v>234</v>
      </c>
      <c r="F1142">
        <v>1141</v>
      </c>
      <c r="G1142">
        <v>94.8</v>
      </c>
      <c r="H1142" t="s">
        <v>1014</v>
      </c>
    </row>
    <row r="1143" spans="1:8">
      <c r="A1143">
        <v>2632</v>
      </c>
      <c r="B1143" t="s">
        <v>1180</v>
      </c>
      <c r="C1143">
        <v>58</v>
      </c>
      <c r="D1143">
        <v>4</v>
      </c>
      <c r="E1143">
        <v>232</v>
      </c>
      <c r="F1143">
        <v>1142</v>
      </c>
      <c r="G1143">
        <v>94.8</v>
      </c>
      <c r="H1143" t="s">
        <v>1014</v>
      </c>
    </row>
    <row r="1144" spans="1:8">
      <c r="A1144">
        <v>2895</v>
      </c>
      <c r="B1144" t="s">
        <v>1181</v>
      </c>
      <c r="C1144">
        <v>58</v>
      </c>
      <c r="D1144">
        <v>4</v>
      </c>
      <c r="E1144">
        <v>232</v>
      </c>
      <c r="F1144">
        <v>1143</v>
      </c>
      <c r="G1144">
        <v>94.8</v>
      </c>
      <c r="H1144" t="s">
        <v>1014</v>
      </c>
    </row>
    <row r="1145" spans="1:8">
      <c r="A1145">
        <v>3655</v>
      </c>
      <c r="B1145" t="s">
        <v>1182</v>
      </c>
      <c r="C1145">
        <v>58</v>
      </c>
      <c r="D1145">
        <v>4</v>
      </c>
      <c r="E1145">
        <v>232</v>
      </c>
      <c r="F1145">
        <v>1144</v>
      </c>
      <c r="G1145">
        <v>94.9</v>
      </c>
      <c r="H1145" t="s">
        <v>1014</v>
      </c>
    </row>
    <row r="1146" spans="1:8">
      <c r="A1146">
        <v>227</v>
      </c>
      <c r="B1146" t="s">
        <v>1183</v>
      </c>
      <c r="C1146">
        <v>230</v>
      </c>
      <c r="D1146">
        <v>1</v>
      </c>
      <c r="E1146">
        <v>230</v>
      </c>
      <c r="F1146">
        <v>1145</v>
      </c>
      <c r="G1146">
        <v>94.9</v>
      </c>
      <c r="H1146" t="s">
        <v>1014</v>
      </c>
    </row>
    <row r="1147" spans="1:8">
      <c r="A1147">
        <v>2983</v>
      </c>
      <c r="B1147" t="s">
        <v>1184</v>
      </c>
      <c r="C1147">
        <v>115</v>
      </c>
      <c r="D1147">
        <v>2</v>
      </c>
      <c r="E1147">
        <v>230</v>
      </c>
      <c r="F1147">
        <v>1146</v>
      </c>
      <c r="G1147">
        <v>94.9</v>
      </c>
      <c r="H1147" t="s">
        <v>1014</v>
      </c>
    </row>
    <row r="1148" spans="1:8">
      <c r="A1148">
        <v>307</v>
      </c>
      <c r="B1148" t="s">
        <v>1185</v>
      </c>
      <c r="C1148">
        <v>38</v>
      </c>
      <c r="D1148">
        <v>6</v>
      </c>
      <c r="E1148">
        <v>228</v>
      </c>
      <c r="F1148">
        <v>1147</v>
      </c>
      <c r="G1148">
        <v>94.9</v>
      </c>
      <c r="H1148" t="s">
        <v>1014</v>
      </c>
    </row>
    <row r="1149" spans="1:8">
      <c r="A1149">
        <v>1666</v>
      </c>
      <c r="B1149" t="s">
        <v>174</v>
      </c>
      <c r="C1149">
        <v>38</v>
      </c>
      <c r="D1149">
        <v>6</v>
      </c>
      <c r="E1149">
        <v>228</v>
      </c>
      <c r="F1149">
        <v>1148</v>
      </c>
      <c r="G1149">
        <v>94.9</v>
      </c>
      <c r="H1149" t="s">
        <v>1014</v>
      </c>
    </row>
    <row r="1150" spans="1:8">
      <c r="A1150">
        <v>2897</v>
      </c>
      <c r="B1150" t="s">
        <v>78</v>
      </c>
      <c r="C1150">
        <v>114</v>
      </c>
      <c r="D1150">
        <v>2</v>
      </c>
      <c r="E1150">
        <v>228</v>
      </c>
      <c r="F1150">
        <v>1149</v>
      </c>
      <c r="G1150">
        <v>95</v>
      </c>
      <c r="H1150" t="s">
        <v>1014</v>
      </c>
    </row>
    <row r="1151" spans="1:8">
      <c r="A1151">
        <v>58</v>
      </c>
      <c r="B1151" t="s">
        <v>1186</v>
      </c>
      <c r="C1151">
        <v>75</v>
      </c>
      <c r="D1151">
        <v>3</v>
      </c>
      <c r="E1151">
        <v>225</v>
      </c>
      <c r="F1151">
        <v>1150</v>
      </c>
      <c r="G1151">
        <v>95</v>
      </c>
      <c r="H1151" t="s">
        <v>1014</v>
      </c>
    </row>
    <row r="1152" spans="1:8">
      <c r="A1152">
        <v>245</v>
      </c>
      <c r="B1152" t="s">
        <v>144</v>
      </c>
      <c r="C1152">
        <v>75</v>
      </c>
      <c r="D1152">
        <v>3</v>
      </c>
      <c r="E1152">
        <v>225</v>
      </c>
      <c r="F1152">
        <v>1151</v>
      </c>
      <c r="G1152">
        <v>95</v>
      </c>
      <c r="H1152" t="s">
        <v>1014</v>
      </c>
    </row>
    <row r="1153" spans="1:8">
      <c r="A1153">
        <v>354</v>
      </c>
      <c r="B1153" t="s">
        <v>1187</v>
      </c>
      <c r="C1153">
        <v>75</v>
      </c>
      <c r="D1153">
        <v>3</v>
      </c>
      <c r="E1153">
        <v>225</v>
      </c>
      <c r="F1153">
        <v>1152</v>
      </c>
      <c r="G1153">
        <v>95</v>
      </c>
      <c r="H1153" t="s">
        <v>1014</v>
      </c>
    </row>
    <row r="1154" spans="1:8">
      <c r="A1154">
        <v>2614</v>
      </c>
      <c r="B1154" t="s">
        <v>1188</v>
      </c>
      <c r="C1154">
        <v>75</v>
      </c>
      <c r="D1154">
        <v>3</v>
      </c>
      <c r="E1154">
        <v>225</v>
      </c>
      <c r="F1154">
        <v>1153</v>
      </c>
      <c r="G1154">
        <v>95.1</v>
      </c>
      <c r="H1154" t="s">
        <v>1014</v>
      </c>
    </row>
    <row r="1155" spans="1:8">
      <c r="A1155">
        <v>3515</v>
      </c>
      <c r="B1155" t="s">
        <v>1189</v>
      </c>
      <c r="C1155">
        <v>75</v>
      </c>
      <c r="D1155">
        <v>3</v>
      </c>
      <c r="E1155">
        <v>225</v>
      </c>
      <c r="F1155">
        <v>1154</v>
      </c>
      <c r="G1155">
        <v>95.1</v>
      </c>
      <c r="H1155" t="s">
        <v>1014</v>
      </c>
    </row>
    <row r="1156" spans="1:8">
      <c r="A1156">
        <v>2680</v>
      </c>
      <c r="B1156" t="s">
        <v>1190</v>
      </c>
      <c r="C1156">
        <v>112</v>
      </c>
      <c r="D1156">
        <v>2</v>
      </c>
      <c r="E1156">
        <v>224</v>
      </c>
      <c r="F1156">
        <v>1155</v>
      </c>
      <c r="G1156">
        <v>95.1</v>
      </c>
      <c r="H1156" t="s">
        <v>1014</v>
      </c>
    </row>
    <row r="1157" spans="1:8">
      <c r="A1157">
        <v>2686</v>
      </c>
      <c r="B1157" t="s">
        <v>1191</v>
      </c>
      <c r="C1157">
        <v>56</v>
      </c>
      <c r="D1157">
        <v>4</v>
      </c>
      <c r="E1157">
        <v>224</v>
      </c>
      <c r="F1157">
        <v>1156</v>
      </c>
      <c r="G1157">
        <v>95.1</v>
      </c>
      <c r="H1157" t="s">
        <v>1014</v>
      </c>
    </row>
    <row r="1158" spans="1:8">
      <c r="A1158">
        <v>2692</v>
      </c>
      <c r="B1158" t="s">
        <v>1192</v>
      </c>
      <c r="C1158">
        <v>56</v>
      </c>
      <c r="D1158">
        <v>4</v>
      </c>
      <c r="E1158">
        <v>224</v>
      </c>
      <c r="F1158">
        <v>1157</v>
      </c>
      <c r="G1158">
        <v>95.1</v>
      </c>
      <c r="H1158" t="s">
        <v>1014</v>
      </c>
    </row>
    <row r="1159" spans="1:8">
      <c r="A1159">
        <v>205</v>
      </c>
      <c r="B1159" t="s">
        <v>1193</v>
      </c>
      <c r="C1159">
        <v>37</v>
      </c>
      <c r="D1159">
        <v>6</v>
      </c>
      <c r="E1159">
        <v>222</v>
      </c>
      <c r="F1159">
        <v>1158</v>
      </c>
      <c r="G1159">
        <v>95.2</v>
      </c>
      <c r="H1159" t="s">
        <v>1014</v>
      </c>
    </row>
    <row r="1160" spans="1:8">
      <c r="A1160">
        <v>2572</v>
      </c>
      <c r="B1160" t="s">
        <v>1194</v>
      </c>
      <c r="C1160">
        <v>222</v>
      </c>
      <c r="D1160">
        <v>1</v>
      </c>
      <c r="E1160">
        <v>222</v>
      </c>
      <c r="F1160">
        <v>1159</v>
      </c>
      <c r="G1160">
        <v>95.2</v>
      </c>
      <c r="H1160" t="s">
        <v>1014</v>
      </c>
    </row>
    <row r="1161" spans="1:8">
      <c r="A1161">
        <v>98</v>
      </c>
      <c r="B1161" t="s">
        <v>146</v>
      </c>
      <c r="C1161">
        <v>55</v>
      </c>
      <c r="D1161">
        <v>4</v>
      </c>
      <c r="E1161">
        <v>220</v>
      </c>
      <c r="F1161">
        <v>1160</v>
      </c>
      <c r="G1161">
        <v>95.2</v>
      </c>
      <c r="H1161" t="s">
        <v>1014</v>
      </c>
    </row>
    <row r="1162" spans="1:8">
      <c r="A1162">
        <v>371</v>
      </c>
      <c r="B1162" t="s">
        <v>1195</v>
      </c>
      <c r="C1162">
        <v>44</v>
      </c>
      <c r="D1162">
        <v>5</v>
      </c>
      <c r="E1162">
        <v>220</v>
      </c>
      <c r="F1162">
        <v>1161</v>
      </c>
      <c r="G1162">
        <v>95.2</v>
      </c>
      <c r="H1162" t="s">
        <v>1014</v>
      </c>
    </row>
    <row r="1163" spans="1:8">
      <c r="A1163">
        <v>489</v>
      </c>
      <c r="B1163" t="s">
        <v>1196</v>
      </c>
      <c r="C1163">
        <v>55</v>
      </c>
      <c r="D1163">
        <v>4</v>
      </c>
      <c r="E1163">
        <v>220</v>
      </c>
      <c r="F1163">
        <v>1162</v>
      </c>
      <c r="G1163">
        <v>95.2</v>
      </c>
      <c r="H1163" t="s">
        <v>1014</v>
      </c>
    </row>
    <row r="1164" spans="1:8">
      <c r="A1164">
        <v>1145</v>
      </c>
      <c r="B1164" t="s">
        <v>1197</v>
      </c>
      <c r="C1164">
        <v>55</v>
      </c>
      <c r="D1164">
        <v>4</v>
      </c>
      <c r="E1164">
        <v>220</v>
      </c>
      <c r="F1164">
        <v>1163</v>
      </c>
      <c r="G1164">
        <v>95.3</v>
      </c>
      <c r="H1164" t="s">
        <v>1014</v>
      </c>
    </row>
    <row r="1165" spans="1:8">
      <c r="A1165">
        <v>1461</v>
      </c>
      <c r="B1165" t="s">
        <v>1198</v>
      </c>
      <c r="C1165">
        <v>44</v>
      </c>
      <c r="D1165">
        <v>5</v>
      </c>
      <c r="E1165">
        <v>220</v>
      </c>
      <c r="F1165">
        <v>1164</v>
      </c>
      <c r="G1165">
        <v>95.3</v>
      </c>
      <c r="H1165" t="s">
        <v>1014</v>
      </c>
    </row>
    <row r="1166" spans="1:8">
      <c r="A1166">
        <v>3579</v>
      </c>
      <c r="B1166" t="s">
        <v>1199</v>
      </c>
      <c r="C1166">
        <v>55</v>
      </c>
      <c r="D1166">
        <v>4</v>
      </c>
      <c r="E1166">
        <v>220</v>
      </c>
      <c r="F1166">
        <v>1165</v>
      </c>
      <c r="G1166">
        <v>95.3</v>
      </c>
      <c r="H1166" t="s">
        <v>1014</v>
      </c>
    </row>
    <row r="1167" spans="1:8">
      <c r="A1167">
        <v>103</v>
      </c>
      <c r="B1167" t="s">
        <v>1200</v>
      </c>
      <c r="C1167">
        <v>36</v>
      </c>
      <c r="D1167">
        <v>6</v>
      </c>
      <c r="E1167">
        <v>216</v>
      </c>
      <c r="F1167">
        <v>1166</v>
      </c>
      <c r="G1167">
        <v>95.3</v>
      </c>
      <c r="H1167" t="s">
        <v>1014</v>
      </c>
    </row>
    <row r="1168" spans="1:8">
      <c r="A1168">
        <v>144</v>
      </c>
      <c r="B1168" t="s">
        <v>1201</v>
      </c>
      <c r="C1168">
        <v>54</v>
      </c>
      <c r="D1168">
        <v>4</v>
      </c>
      <c r="E1168">
        <v>216</v>
      </c>
      <c r="F1168">
        <v>1167</v>
      </c>
      <c r="G1168">
        <v>95.3</v>
      </c>
      <c r="H1168" t="s">
        <v>1014</v>
      </c>
    </row>
    <row r="1169" spans="1:8">
      <c r="A1169">
        <v>217</v>
      </c>
      <c r="B1169" t="s">
        <v>102</v>
      </c>
      <c r="C1169">
        <v>36</v>
      </c>
      <c r="D1169">
        <v>6</v>
      </c>
      <c r="E1169">
        <v>216</v>
      </c>
      <c r="F1169">
        <v>1168</v>
      </c>
      <c r="G1169">
        <v>95.4</v>
      </c>
      <c r="H1169" t="s">
        <v>1014</v>
      </c>
    </row>
    <row r="1170" spans="1:8">
      <c r="A1170">
        <v>270</v>
      </c>
      <c r="B1170" t="s">
        <v>1202</v>
      </c>
      <c r="C1170">
        <v>54</v>
      </c>
      <c r="D1170">
        <v>4</v>
      </c>
      <c r="E1170">
        <v>216</v>
      </c>
      <c r="F1170">
        <v>1169</v>
      </c>
      <c r="G1170">
        <v>95.4</v>
      </c>
      <c r="H1170" t="s">
        <v>1014</v>
      </c>
    </row>
    <row r="1171" spans="1:8">
      <c r="A1171">
        <v>316</v>
      </c>
      <c r="B1171" t="s">
        <v>1203</v>
      </c>
      <c r="C1171">
        <v>36</v>
      </c>
      <c r="D1171">
        <v>6</v>
      </c>
      <c r="E1171">
        <v>216</v>
      </c>
      <c r="F1171">
        <v>1170</v>
      </c>
      <c r="G1171">
        <v>95.4</v>
      </c>
      <c r="H1171" t="s">
        <v>1014</v>
      </c>
    </row>
    <row r="1172" spans="1:8">
      <c r="A1172">
        <v>1520</v>
      </c>
      <c r="B1172" t="s">
        <v>1204</v>
      </c>
      <c r="C1172">
        <v>72</v>
      </c>
      <c r="D1172">
        <v>3</v>
      </c>
      <c r="E1172">
        <v>216</v>
      </c>
      <c r="F1172">
        <v>1171</v>
      </c>
      <c r="G1172">
        <v>95.4</v>
      </c>
      <c r="H1172" t="s">
        <v>1014</v>
      </c>
    </row>
    <row r="1173" spans="1:8">
      <c r="A1173">
        <v>2622</v>
      </c>
      <c r="B1173" t="s">
        <v>136</v>
      </c>
      <c r="C1173">
        <v>72</v>
      </c>
      <c r="D1173">
        <v>3</v>
      </c>
      <c r="E1173">
        <v>216</v>
      </c>
      <c r="F1173">
        <v>1172</v>
      </c>
      <c r="G1173">
        <v>95.4</v>
      </c>
      <c r="H1173" t="s">
        <v>1014</v>
      </c>
    </row>
    <row r="1174" spans="1:8">
      <c r="A1174">
        <v>2659</v>
      </c>
      <c r="B1174" t="s">
        <v>1205</v>
      </c>
      <c r="C1174">
        <v>54</v>
      </c>
      <c r="D1174">
        <v>4</v>
      </c>
      <c r="E1174">
        <v>216</v>
      </c>
      <c r="F1174">
        <v>1173</v>
      </c>
      <c r="G1174">
        <v>95.5</v>
      </c>
      <c r="H1174" t="s">
        <v>1014</v>
      </c>
    </row>
    <row r="1175" spans="1:8">
      <c r="A1175">
        <v>3508</v>
      </c>
      <c r="B1175" t="s">
        <v>1206</v>
      </c>
      <c r="C1175">
        <v>72</v>
      </c>
      <c r="D1175">
        <v>3</v>
      </c>
      <c r="E1175">
        <v>216</v>
      </c>
      <c r="F1175">
        <v>1174</v>
      </c>
      <c r="G1175">
        <v>95.5</v>
      </c>
      <c r="H1175" t="s">
        <v>1014</v>
      </c>
    </row>
    <row r="1176" spans="1:8">
      <c r="A1176">
        <v>3049</v>
      </c>
      <c r="B1176" t="s">
        <v>154</v>
      </c>
      <c r="C1176">
        <v>213</v>
      </c>
      <c r="D1176">
        <v>1</v>
      </c>
      <c r="E1176">
        <v>213</v>
      </c>
      <c r="F1176">
        <v>1175</v>
      </c>
      <c r="G1176">
        <v>95.5</v>
      </c>
      <c r="H1176" t="s">
        <v>1014</v>
      </c>
    </row>
    <row r="1177" spans="1:8">
      <c r="A1177">
        <v>82</v>
      </c>
      <c r="B1177" t="s">
        <v>1207</v>
      </c>
      <c r="C1177">
        <v>105</v>
      </c>
      <c r="D1177">
        <v>2</v>
      </c>
      <c r="E1177">
        <v>210</v>
      </c>
      <c r="F1177">
        <v>1176</v>
      </c>
      <c r="G1177">
        <v>95.5</v>
      </c>
      <c r="H1177" t="s">
        <v>1014</v>
      </c>
    </row>
    <row r="1178" spans="1:8">
      <c r="A1178">
        <v>2591</v>
      </c>
      <c r="B1178" t="s">
        <v>1208</v>
      </c>
      <c r="C1178">
        <v>210</v>
      </c>
      <c r="D1178">
        <v>1</v>
      </c>
      <c r="E1178">
        <v>210</v>
      </c>
      <c r="F1178">
        <v>1177</v>
      </c>
      <c r="G1178">
        <v>95.5</v>
      </c>
      <c r="H1178" t="s">
        <v>1014</v>
      </c>
    </row>
    <row r="1179" spans="1:8">
      <c r="A1179">
        <v>2695</v>
      </c>
      <c r="B1179" t="s">
        <v>1209</v>
      </c>
      <c r="C1179">
        <v>70</v>
      </c>
      <c r="D1179">
        <v>3</v>
      </c>
      <c r="E1179">
        <v>210</v>
      </c>
      <c r="F1179">
        <v>1178</v>
      </c>
      <c r="G1179">
        <v>95.6</v>
      </c>
      <c r="H1179" t="s">
        <v>1014</v>
      </c>
    </row>
    <row r="1180" spans="1:8">
      <c r="A1180">
        <v>2828</v>
      </c>
      <c r="B1180" t="s">
        <v>1210</v>
      </c>
      <c r="C1180">
        <v>105</v>
      </c>
      <c r="D1180">
        <v>2</v>
      </c>
      <c r="E1180">
        <v>210</v>
      </c>
      <c r="F1180">
        <v>1179</v>
      </c>
      <c r="G1180">
        <v>95.6</v>
      </c>
      <c r="H1180" t="s">
        <v>1014</v>
      </c>
    </row>
    <row r="1181" spans="1:8">
      <c r="A1181">
        <v>169</v>
      </c>
      <c r="B1181" t="s">
        <v>163</v>
      </c>
      <c r="C1181">
        <v>52</v>
      </c>
      <c r="D1181">
        <v>4</v>
      </c>
      <c r="E1181">
        <v>208</v>
      </c>
      <c r="F1181">
        <v>1180</v>
      </c>
      <c r="G1181">
        <v>95.6</v>
      </c>
      <c r="H1181" t="s">
        <v>1014</v>
      </c>
    </row>
    <row r="1182" spans="1:8">
      <c r="A1182">
        <v>240</v>
      </c>
      <c r="B1182" t="s">
        <v>1211</v>
      </c>
      <c r="C1182">
        <v>52</v>
      </c>
      <c r="D1182">
        <v>4</v>
      </c>
      <c r="E1182">
        <v>208</v>
      </c>
      <c r="F1182">
        <v>1181</v>
      </c>
      <c r="G1182">
        <v>95.6</v>
      </c>
      <c r="H1182" t="s">
        <v>1014</v>
      </c>
    </row>
    <row r="1183" spans="1:8">
      <c r="A1183">
        <v>23</v>
      </c>
      <c r="B1183" t="s">
        <v>1212</v>
      </c>
      <c r="C1183">
        <v>69</v>
      </c>
      <c r="D1183">
        <v>3</v>
      </c>
      <c r="E1183">
        <v>207</v>
      </c>
      <c r="F1183">
        <v>1182</v>
      </c>
      <c r="G1183">
        <v>95.6</v>
      </c>
      <c r="H1183" t="s">
        <v>1014</v>
      </c>
    </row>
    <row r="1184" spans="1:8">
      <c r="A1184">
        <v>69</v>
      </c>
      <c r="B1184" t="s">
        <v>1213</v>
      </c>
      <c r="C1184">
        <v>69</v>
      </c>
      <c r="D1184">
        <v>3</v>
      </c>
      <c r="E1184">
        <v>207</v>
      </c>
      <c r="F1184">
        <v>1183</v>
      </c>
      <c r="G1184">
        <v>95.7</v>
      </c>
      <c r="H1184" t="s">
        <v>1014</v>
      </c>
    </row>
    <row r="1185" spans="1:8">
      <c r="A1185">
        <v>253</v>
      </c>
      <c r="B1185" t="s">
        <v>1214</v>
      </c>
      <c r="C1185">
        <v>34</v>
      </c>
      <c r="D1185">
        <v>6</v>
      </c>
      <c r="E1185">
        <v>204</v>
      </c>
      <c r="F1185">
        <v>1184</v>
      </c>
      <c r="G1185">
        <v>95.7</v>
      </c>
      <c r="H1185" t="s">
        <v>1014</v>
      </c>
    </row>
    <row r="1186" spans="1:8">
      <c r="A1186">
        <v>273</v>
      </c>
      <c r="B1186" t="s">
        <v>1215</v>
      </c>
      <c r="C1186">
        <v>34</v>
      </c>
      <c r="D1186">
        <v>6</v>
      </c>
      <c r="E1186">
        <v>204</v>
      </c>
      <c r="F1186">
        <v>1185</v>
      </c>
      <c r="G1186">
        <v>95.7</v>
      </c>
      <c r="H1186" t="s">
        <v>1014</v>
      </c>
    </row>
    <row r="1187" spans="1:8">
      <c r="A1187">
        <v>288</v>
      </c>
      <c r="B1187" t="s">
        <v>1216</v>
      </c>
      <c r="C1187">
        <v>34</v>
      </c>
      <c r="D1187">
        <v>6</v>
      </c>
      <c r="E1187">
        <v>204</v>
      </c>
      <c r="F1187">
        <v>1186</v>
      </c>
      <c r="G1187">
        <v>95.7</v>
      </c>
      <c r="H1187" t="s">
        <v>1014</v>
      </c>
    </row>
    <row r="1188" spans="1:8">
      <c r="A1188">
        <v>308</v>
      </c>
      <c r="B1188" t="s">
        <v>1217</v>
      </c>
      <c r="C1188">
        <v>34</v>
      </c>
      <c r="D1188">
        <v>6</v>
      </c>
      <c r="E1188">
        <v>204</v>
      </c>
      <c r="F1188">
        <v>1187</v>
      </c>
      <c r="G1188">
        <v>95.7</v>
      </c>
      <c r="H1188" t="s">
        <v>1014</v>
      </c>
    </row>
    <row r="1189" spans="1:8">
      <c r="A1189">
        <v>318</v>
      </c>
      <c r="B1189" t="s">
        <v>1218</v>
      </c>
      <c r="C1189">
        <v>34</v>
      </c>
      <c r="D1189">
        <v>6</v>
      </c>
      <c r="E1189">
        <v>204</v>
      </c>
      <c r="F1189">
        <v>1188</v>
      </c>
      <c r="G1189">
        <v>95.8</v>
      </c>
      <c r="H1189" t="s">
        <v>1014</v>
      </c>
    </row>
    <row r="1190" spans="1:8">
      <c r="A1190">
        <v>1127</v>
      </c>
      <c r="B1190" t="s">
        <v>1219</v>
      </c>
      <c r="C1190">
        <v>34</v>
      </c>
      <c r="D1190">
        <v>6</v>
      </c>
      <c r="E1190">
        <v>204</v>
      </c>
      <c r="F1190">
        <v>1189</v>
      </c>
      <c r="G1190">
        <v>95.8</v>
      </c>
      <c r="H1190" t="s">
        <v>1014</v>
      </c>
    </row>
    <row r="1191" spans="1:8">
      <c r="A1191">
        <v>1137</v>
      </c>
      <c r="B1191" t="s">
        <v>117</v>
      </c>
      <c r="C1191">
        <v>34</v>
      </c>
      <c r="D1191">
        <v>6</v>
      </c>
      <c r="E1191">
        <v>204</v>
      </c>
      <c r="F1191">
        <v>1190</v>
      </c>
      <c r="G1191">
        <v>95.8</v>
      </c>
      <c r="H1191" t="s">
        <v>1014</v>
      </c>
    </row>
    <row r="1192" spans="1:8">
      <c r="A1192">
        <v>2553</v>
      </c>
      <c r="B1192" t="s">
        <v>1220</v>
      </c>
      <c r="C1192">
        <v>204</v>
      </c>
      <c r="D1192">
        <v>1</v>
      </c>
      <c r="E1192">
        <v>204</v>
      </c>
      <c r="F1192">
        <v>1191</v>
      </c>
      <c r="G1192">
        <v>95.8</v>
      </c>
      <c r="H1192" t="s">
        <v>1014</v>
      </c>
    </row>
    <row r="1193" spans="1:8">
      <c r="A1193">
        <v>2579</v>
      </c>
      <c r="B1193" t="s">
        <v>1221</v>
      </c>
      <c r="C1193">
        <v>204</v>
      </c>
      <c r="D1193">
        <v>1</v>
      </c>
      <c r="E1193">
        <v>204</v>
      </c>
      <c r="F1193">
        <v>1192</v>
      </c>
      <c r="G1193">
        <v>95.8</v>
      </c>
      <c r="H1193" t="s">
        <v>1014</v>
      </c>
    </row>
    <row r="1194" spans="1:8">
      <c r="A1194">
        <v>2705</v>
      </c>
      <c r="B1194" t="s">
        <v>1222</v>
      </c>
      <c r="C1194">
        <v>34</v>
      </c>
      <c r="D1194">
        <v>6</v>
      </c>
      <c r="E1194">
        <v>204</v>
      </c>
      <c r="F1194">
        <v>1193</v>
      </c>
      <c r="G1194">
        <v>95.9</v>
      </c>
      <c r="H1194" t="s">
        <v>1014</v>
      </c>
    </row>
    <row r="1195" spans="1:8">
      <c r="A1195">
        <v>2760</v>
      </c>
      <c r="B1195" t="s">
        <v>95</v>
      </c>
      <c r="C1195">
        <v>34</v>
      </c>
      <c r="D1195">
        <v>6</v>
      </c>
      <c r="E1195">
        <v>204</v>
      </c>
      <c r="F1195">
        <v>1194</v>
      </c>
      <c r="G1195">
        <v>95.9</v>
      </c>
      <c r="H1195" t="s">
        <v>1014</v>
      </c>
    </row>
    <row r="1196" spans="1:8">
      <c r="A1196">
        <v>3456</v>
      </c>
      <c r="B1196" t="s">
        <v>1223</v>
      </c>
      <c r="C1196">
        <v>34</v>
      </c>
      <c r="D1196">
        <v>6</v>
      </c>
      <c r="E1196">
        <v>204</v>
      </c>
      <c r="F1196">
        <v>1195</v>
      </c>
      <c r="G1196">
        <v>95.9</v>
      </c>
      <c r="H1196" t="s">
        <v>1014</v>
      </c>
    </row>
    <row r="1197" spans="1:8">
      <c r="A1197">
        <v>3536</v>
      </c>
      <c r="B1197" t="s">
        <v>1224</v>
      </c>
      <c r="C1197">
        <v>68</v>
      </c>
      <c r="D1197">
        <v>3</v>
      </c>
      <c r="E1197">
        <v>204</v>
      </c>
      <c r="F1197">
        <v>1196</v>
      </c>
      <c r="G1197">
        <v>95.9</v>
      </c>
      <c r="H1197" t="s">
        <v>1014</v>
      </c>
    </row>
    <row r="1198" spans="1:8">
      <c r="A1198">
        <v>301</v>
      </c>
      <c r="B1198" t="s">
        <v>1225</v>
      </c>
      <c r="C1198">
        <v>67</v>
      </c>
      <c r="D1198">
        <v>3</v>
      </c>
      <c r="E1198">
        <v>201</v>
      </c>
      <c r="F1198">
        <v>1197</v>
      </c>
      <c r="G1198">
        <v>95.9</v>
      </c>
      <c r="H1198" t="s">
        <v>1014</v>
      </c>
    </row>
    <row r="1199" spans="1:8">
      <c r="A1199">
        <v>373</v>
      </c>
      <c r="B1199" t="s">
        <v>147</v>
      </c>
      <c r="C1199">
        <v>67</v>
      </c>
      <c r="D1199">
        <v>3</v>
      </c>
      <c r="E1199">
        <v>201</v>
      </c>
      <c r="F1199">
        <v>1198</v>
      </c>
      <c r="G1199">
        <v>96</v>
      </c>
      <c r="H1199" t="s">
        <v>1014</v>
      </c>
    </row>
    <row r="1200" spans="1:8">
      <c r="A1200">
        <v>251</v>
      </c>
      <c r="B1200" t="s">
        <v>1226</v>
      </c>
      <c r="C1200">
        <v>40</v>
      </c>
      <c r="D1200">
        <v>5</v>
      </c>
      <c r="E1200">
        <v>200</v>
      </c>
      <c r="F1200">
        <v>1199</v>
      </c>
      <c r="G1200">
        <v>96</v>
      </c>
      <c r="H1200" t="s">
        <v>1014</v>
      </c>
    </row>
    <row r="1201" spans="1:8">
      <c r="A1201">
        <v>483</v>
      </c>
      <c r="B1201" t="s">
        <v>1227</v>
      </c>
      <c r="C1201">
        <v>100</v>
      </c>
      <c r="D1201">
        <v>2</v>
      </c>
      <c r="E1201">
        <v>200</v>
      </c>
      <c r="F1201">
        <v>1200</v>
      </c>
      <c r="G1201">
        <v>96</v>
      </c>
      <c r="H1201" t="s">
        <v>1014</v>
      </c>
    </row>
    <row r="1202" spans="1:8">
      <c r="A1202">
        <v>523</v>
      </c>
      <c r="B1202" t="s">
        <v>1228</v>
      </c>
      <c r="C1202">
        <v>200</v>
      </c>
      <c r="D1202">
        <v>1</v>
      </c>
      <c r="E1202">
        <v>200</v>
      </c>
      <c r="F1202">
        <v>1201</v>
      </c>
      <c r="G1202">
        <v>96</v>
      </c>
      <c r="H1202" t="s">
        <v>1014</v>
      </c>
    </row>
    <row r="1203" spans="1:8">
      <c r="A1203">
        <v>1179</v>
      </c>
      <c r="B1203" t="s">
        <v>1229</v>
      </c>
      <c r="C1203">
        <v>200</v>
      </c>
      <c r="D1203">
        <v>1</v>
      </c>
      <c r="E1203">
        <v>200</v>
      </c>
      <c r="F1203">
        <v>1202</v>
      </c>
      <c r="G1203">
        <v>96</v>
      </c>
      <c r="H1203" t="s">
        <v>1014</v>
      </c>
    </row>
    <row r="1204" spans="1:8">
      <c r="A1204">
        <v>1436</v>
      </c>
      <c r="B1204" t="s">
        <v>1230</v>
      </c>
      <c r="C1204">
        <v>50</v>
      </c>
      <c r="D1204">
        <v>4</v>
      </c>
      <c r="E1204">
        <v>200</v>
      </c>
      <c r="F1204">
        <v>1203</v>
      </c>
      <c r="G1204">
        <v>96</v>
      </c>
      <c r="H1204" t="s">
        <v>1014</v>
      </c>
    </row>
    <row r="1205" spans="1:8">
      <c r="A1205">
        <v>1464</v>
      </c>
      <c r="B1205" t="s">
        <v>1231</v>
      </c>
      <c r="C1205">
        <v>100</v>
      </c>
      <c r="D1205">
        <v>2</v>
      </c>
      <c r="E1205">
        <v>200</v>
      </c>
      <c r="F1205">
        <v>1204</v>
      </c>
      <c r="G1205">
        <v>96.1</v>
      </c>
      <c r="H1205" t="s">
        <v>1014</v>
      </c>
    </row>
    <row r="1206" spans="1:8">
      <c r="A1206">
        <v>1577</v>
      </c>
      <c r="B1206" t="s">
        <v>1232</v>
      </c>
      <c r="C1206">
        <v>50</v>
      </c>
      <c r="D1206">
        <v>4</v>
      </c>
      <c r="E1206">
        <v>200</v>
      </c>
      <c r="F1206">
        <v>1205</v>
      </c>
      <c r="G1206">
        <v>96.1</v>
      </c>
      <c r="H1206" t="s">
        <v>1014</v>
      </c>
    </row>
    <row r="1207" spans="1:8">
      <c r="A1207">
        <v>3026</v>
      </c>
      <c r="B1207" t="s">
        <v>1233</v>
      </c>
      <c r="C1207">
        <v>50</v>
      </c>
      <c r="D1207">
        <v>4</v>
      </c>
      <c r="E1207">
        <v>200</v>
      </c>
      <c r="F1207">
        <v>1206</v>
      </c>
      <c r="G1207">
        <v>96.1</v>
      </c>
      <c r="H1207" t="s">
        <v>1014</v>
      </c>
    </row>
    <row r="1208" spans="1:8">
      <c r="A1208">
        <v>3033</v>
      </c>
      <c r="B1208" t="s">
        <v>1234</v>
      </c>
      <c r="C1208">
        <v>199</v>
      </c>
      <c r="D1208">
        <v>1</v>
      </c>
      <c r="E1208">
        <v>199</v>
      </c>
      <c r="F1208">
        <v>1207</v>
      </c>
      <c r="G1208">
        <v>96.1</v>
      </c>
      <c r="H1208" t="s">
        <v>1014</v>
      </c>
    </row>
    <row r="1209" spans="1:8">
      <c r="A1209">
        <v>3035</v>
      </c>
      <c r="B1209" t="s">
        <v>1235</v>
      </c>
      <c r="C1209">
        <v>199</v>
      </c>
      <c r="D1209">
        <v>1</v>
      </c>
      <c r="E1209">
        <v>199</v>
      </c>
      <c r="F1209">
        <v>1208</v>
      </c>
      <c r="G1209">
        <v>96.1</v>
      </c>
      <c r="H1209" t="s">
        <v>1014</v>
      </c>
    </row>
    <row r="1210" spans="1:8">
      <c r="A1210">
        <v>3053</v>
      </c>
      <c r="B1210" t="s">
        <v>683</v>
      </c>
      <c r="C1210">
        <v>199</v>
      </c>
      <c r="D1210">
        <v>1</v>
      </c>
      <c r="E1210">
        <v>199</v>
      </c>
      <c r="F1210">
        <v>1209</v>
      </c>
      <c r="G1210">
        <v>96.2</v>
      </c>
      <c r="H1210" t="s">
        <v>1014</v>
      </c>
    </row>
    <row r="1211" spans="1:8">
      <c r="A1211">
        <v>241</v>
      </c>
      <c r="B1211" t="s">
        <v>1236</v>
      </c>
      <c r="C1211">
        <v>33</v>
      </c>
      <c r="D1211">
        <v>6</v>
      </c>
      <c r="E1211">
        <v>198</v>
      </c>
      <c r="F1211">
        <v>1210</v>
      </c>
      <c r="G1211">
        <v>96.2</v>
      </c>
      <c r="H1211" t="s">
        <v>1014</v>
      </c>
    </row>
    <row r="1212" spans="1:8">
      <c r="A1212">
        <v>1430</v>
      </c>
      <c r="B1212" t="s">
        <v>1237</v>
      </c>
      <c r="C1212">
        <v>33</v>
      </c>
      <c r="D1212">
        <v>6</v>
      </c>
      <c r="E1212">
        <v>198</v>
      </c>
      <c r="F1212">
        <v>1211</v>
      </c>
      <c r="G1212">
        <v>96.2</v>
      </c>
      <c r="H1212" t="s">
        <v>1014</v>
      </c>
    </row>
    <row r="1213" spans="1:8">
      <c r="A1213">
        <v>2660</v>
      </c>
      <c r="B1213" t="s">
        <v>1238</v>
      </c>
      <c r="C1213">
        <v>33</v>
      </c>
      <c r="D1213">
        <v>6</v>
      </c>
      <c r="E1213">
        <v>198</v>
      </c>
      <c r="F1213">
        <v>1212</v>
      </c>
      <c r="G1213">
        <v>96.2</v>
      </c>
      <c r="H1213" t="s">
        <v>1014</v>
      </c>
    </row>
    <row r="1214" spans="1:8">
      <c r="A1214">
        <v>2844</v>
      </c>
      <c r="B1214" t="s">
        <v>1239</v>
      </c>
      <c r="C1214">
        <v>33</v>
      </c>
      <c r="D1214">
        <v>6</v>
      </c>
      <c r="E1214">
        <v>198</v>
      </c>
      <c r="F1214">
        <v>1213</v>
      </c>
      <c r="G1214">
        <v>96.2</v>
      </c>
      <c r="H1214" t="s">
        <v>1014</v>
      </c>
    </row>
    <row r="1215" spans="1:8">
      <c r="A1215">
        <v>3511</v>
      </c>
      <c r="B1215" t="s">
        <v>1240</v>
      </c>
      <c r="C1215">
        <v>66</v>
      </c>
      <c r="D1215">
        <v>3</v>
      </c>
      <c r="E1215">
        <v>198</v>
      </c>
      <c r="F1215">
        <v>1214</v>
      </c>
      <c r="G1215">
        <v>96.3</v>
      </c>
      <c r="H1215" t="s">
        <v>1014</v>
      </c>
    </row>
    <row r="1216" spans="1:8">
      <c r="A1216">
        <v>2653</v>
      </c>
      <c r="B1216" t="s">
        <v>110</v>
      </c>
      <c r="C1216">
        <v>49</v>
      </c>
      <c r="D1216">
        <v>4</v>
      </c>
      <c r="E1216">
        <v>196</v>
      </c>
      <c r="F1216">
        <v>1215</v>
      </c>
      <c r="G1216">
        <v>96.3</v>
      </c>
      <c r="H1216" t="s">
        <v>1014</v>
      </c>
    </row>
    <row r="1217" spans="1:8">
      <c r="A1217">
        <v>263</v>
      </c>
      <c r="B1217" t="s">
        <v>1241</v>
      </c>
      <c r="C1217">
        <v>65</v>
      </c>
      <c r="D1217">
        <v>3</v>
      </c>
      <c r="E1217">
        <v>195</v>
      </c>
      <c r="F1217">
        <v>1216</v>
      </c>
      <c r="G1217">
        <v>96.3</v>
      </c>
      <c r="H1217" t="s">
        <v>1014</v>
      </c>
    </row>
    <row r="1218" spans="1:8">
      <c r="A1218">
        <v>1172</v>
      </c>
      <c r="B1218" t="s">
        <v>1242</v>
      </c>
      <c r="C1218">
        <v>39</v>
      </c>
      <c r="D1218">
        <v>5</v>
      </c>
      <c r="E1218">
        <v>195</v>
      </c>
      <c r="F1218">
        <v>1217</v>
      </c>
      <c r="G1218">
        <v>96.3</v>
      </c>
      <c r="H1218" t="s">
        <v>1014</v>
      </c>
    </row>
    <row r="1219" spans="1:8">
      <c r="A1219">
        <v>319</v>
      </c>
      <c r="B1219" t="s">
        <v>1243</v>
      </c>
      <c r="C1219">
        <v>194</v>
      </c>
      <c r="D1219">
        <v>1</v>
      </c>
      <c r="E1219">
        <v>194</v>
      </c>
      <c r="F1219">
        <v>1218</v>
      </c>
      <c r="G1219">
        <v>96.3</v>
      </c>
      <c r="H1219" t="s">
        <v>1014</v>
      </c>
    </row>
    <row r="1220" spans="1:8">
      <c r="A1220">
        <v>214</v>
      </c>
      <c r="B1220" t="s">
        <v>161</v>
      </c>
      <c r="C1220">
        <v>32</v>
      </c>
      <c r="D1220">
        <v>6</v>
      </c>
      <c r="E1220">
        <v>192</v>
      </c>
      <c r="F1220">
        <v>1219</v>
      </c>
      <c r="G1220">
        <v>96.3</v>
      </c>
      <c r="H1220" t="s">
        <v>1014</v>
      </c>
    </row>
    <row r="1221" spans="1:8">
      <c r="A1221">
        <v>336</v>
      </c>
      <c r="B1221" t="s">
        <v>147</v>
      </c>
      <c r="C1221">
        <v>38</v>
      </c>
      <c r="D1221">
        <v>5</v>
      </c>
      <c r="E1221">
        <v>190</v>
      </c>
      <c r="F1221">
        <v>1220</v>
      </c>
      <c r="G1221">
        <v>96.4</v>
      </c>
      <c r="H1221" t="s">
        <v>1014</v>
      </c>
    </row>
    <row r="1222" spans="1:8">
      <c r="A1222">
        <v>1649</v>
      </c>
      <c r="B1222" t="s">
        <v>1244</v>
      </c>
      <c r="C1222">
        <v>38</v>
      </c>
      <c r="D1222">
        <v>5</v>
      </c>
      <c r="E1222">
        <v>190</v>
      </c>
      <c r="F1222">
        <v>1221</v>
      </c>
      <c r="G1222">
        <v>96.4</v>
      </c>
      <c r="H1222" t="s">
        <v>1014</v>
      </c>
    </row>
    <row r="1223" spans="1:8">
      <c r="A1223">
        <v>2676</v>
      </c>
      <c r="B1223" t="s">
        <v>1245</v>
      </c>
      <c r="C1223">
        <v>38</v>
      </c>
      <c r="D1223">
        <v>5</v>
      </c>
      <c r="E1223">
        <v>190</v>
      </c>
      <c r="F1223">
        <v>1222</v>
      </c>
      <c r="G1223">
        <v>96.4</v>
      </c>
      <c r="H1223" t="s">
        <v>1014</v>
      </c>
    </row>
    <row r="1224" spans="1:8">
      <c r="A1224">
        <v>2764</v>
      </c>
      <c r="B1224" t="s">
        <v>1246</v>
      </c>
      <c r="C1224">
        <v>95</v>
      </c>
      <c r="D1224">
        <v>2</v>
      </c>
      <c r="E1224">
        <v>190</v>
      </c>
      <c r="F1224">
        <v>1223</v>
      </c>
      <c r="G1224">
        <v>96.4</v>
      </c>
      <c r="H1224" t="s">
        <v>1014</v>
      </c>
    </row>
    <row r="1225" spans="1:8">
      <c r="A1225">
        <v>7</v>
      </c>
      <c r="B1225" t="s">
        <v>1247</v>
      </c>
      <c r="C1225">
        <v>63</v>
      </c>
      <c r="D1225">
        <v>3</v>
      </c>
      <c r="E1225">
        <v>189</v>
      </c>
      <c r="F1225">
        <v>1224</v>
      </c>
      <c r="G1225">
        <v>96.4</v>
      </c>
      <c r="H1225" t="s">
        <v>1014</v>
      </c>
    </row>
    <row r="1226" spans="1:8">
      <c r="A1226">
        <v>300</v>
      </c>
      <c r="B1226" t="s">
        <v>1248</v>
      </c>
      <c r="C1226">
        <v>63</v>
      </c>
      <c r="D1226">
        <v>3</v>
      </c>
      <c r="E1226">
        <v>189</v>
      </c>
      <c r="F1226">
        <v>1225</v>
      </c>
      <c r="G1226">
        <v>96.5</v>
      </c>
      <c r="H1226" t="s">
        <v>1014</v>
      </c>
    </row>
    <row r="1227" spans="1:8">
      <c r="A1227">
        <v>2588</v>
      </c>
      <c r="B1227" t="s">
        <v>1249</v>
      </c>
      <c r="C1227">
        <v>189</v>
      </c>
      <c r="D1227">
        <v>1</v>
      </c>
      <c r="E1227">
        <v>189</v>
      </c>
      <c r="F1227">
        <v>1226</v>
      </c>
      <c r="G1227">
        <v>96.5</v>
      </c>
      <c r="H1227" t="s">
        <v>1014</v>
      </c>
    </row>
    <row r="1228" spans="1:8">
      <c r="A1228">
        <v>407</v>
      </c>
      <c r="B1228" t="s">
        <v>1250</v>
      </c>
      <c r="C1228">
        <v>47</v>
      </c>
      <c r="D1228">
        <v>4</v>
      </c>
      <c r="E1228">
        <v>188</v>
      </c>
      <c r="F1228">
        <v>1227</v>
      </c>
      <c r="G1228">
        <v>96.5</v>
      </c>
      <c r="H1228" t="s">
        <v>1014</v>
      </c>
    </row>
    <row r="1229" spans="1:8">
      <c r="A1229">
        <v>2944</v>
      </c>
      <c r="B1229" t="s">
        <v>1251</v>
      </c>
      <c r="C1229">
        <v>188</v>
      </c>
      <c r="D1229">
        <v>1</v>
      </c>
      <c r="E1229">
        <v>188</v>
      </c>
      <c r="F1229">
        <v>1228</v>
      </c>
      <c r="G1229">
        <v>96.5</v>
      </c>
      <c r="H1229" t="s">
        <v>1014</v>
      </c>
    </row>
    <row r="1230" spans="1:8">
      <c r="A1230">
        <v>3461</v>
      </c>
      <c r="B1230" t="s">
        <v>1252</v>
      </c>
      <c r="C1230">
        <v>188</v>
      </c>
      <c r="D1230">
        <v>1</v>
      </c>
      <c r="E1230">
        <v>188</v>
      </c>
      <c r="F1230">
        <v>1229</v>
      </c>
      <c r="G1230">
        <v>96.5</v>
      </c>
      <c r="H1230" t="s">
        <v>1014</v>
      </c>
    </row>
    <row r="1231" spans="1:8">
      <c r="A1231">
        <v>3697</v>
      </c>
      <c r="B1231" t="s">
        <v>1253</v>
      </c>
      <c r="C1231">
        <v>47</v>
      </c>
      <c r="D1231">
        <v>4</v>
      </c>
      <c r="E1231">
        <v>188</v>
      </c>
      <c r="F1231">
        <v>1230</v>
      </c>
      <c r="G1231">
        <v>96.5</v>
      </c>
      <c r="H1231" t="s">
        <v>1014</v>
      </c>
    </row>
    <row r="1232" spans="1:8">
      <c r="A1232">
        <v>1167</v>
      </c>
      <c r="B1232" t="s">
        <v>1254</v>
      </c>
      <c r="C1232">
        <v>62</v>
      </c>
      <c r="D1232">
        <v>3</v>
      </c>
      <c r="E1232">
        <v>186</v>
      </c>
      <c r="F1232">
        <v>1231</v>
      </c>
      <c r="G1232">
        <v>96.6</v>
      </c>
      <c r="H1232" t="s">
        <v>1014</v>
      </c>
    </row>
    <row r="1233" spans="1:8">
      <c r="A1233">
        <v>2550</v>
      </c>
      <c r="B1233" t="s">
        <v>1255</v>
      </c>
      <c r="C1233">
        <v>186</v>
      </c>
      <c r="D1233">
        <v>1</v>
      </c>
      <c r="E1233">
        <v>186</v>
      </c>
      <c r="F1233">
        <v>1232</v>
      </c>
      <c r="G1233">
        <v>96.6</v>
      </c>
      <c r="H1233" t="s">
        <v>1014</v>
      </c>
    </row>
    <row r="1234" spans="1:8">
      <c r="A1234">
        <v>2608</v>
      </c>
      <c r="B1234" t="s">
        <v>1256</v>
      </c>
      <c r="C1234">
        <v>31</v>
      </c>
      <c r="D1234">
        <v>6</v>
      </c>
      <c r="E1234">
        <v>186</v>
      </c>
      <c r="F1234">
        <v>1233</v>
      </c>
      <c r="G1234">
        <v>96.6</v>
      </c>
      <c r="H1234" t="s">
        <v>1014</v>
      </c>
    </row>
    <row r="1235" spans="1:8">
      <c r="A1235">
        <v>2761</v>
      </c>
      <c r="B1235" t="s">
        <v>1257</v>
      </c>
      <c r="C1235">
        <v>93</v>
      </c>
      <c r="D1235">
        <v>2</v>
      </c>
      <c r="E1235">
        <v>186</v>
      </c>
      <c r="F1235">
        <v>1234</v>
      </c>
      <c r="G1235">
        <v>96.6</v>
      </c>
      <c r="H1235" t="s">
        <v>1014</v>
      </c>
    </row>
    <row r="1236" spans="1:8">
      <c r="A1236">
        <v>235</v>
      </c>
      <c r="B1236" t="s">
        <v>1258</v>
      </c>
      <c r="C1236">
        <v>46</v>
      </c>
      <c r="D1236">
        <v>4</v>
      </c>
      <c r="E1236">
        <v>184</v>
      </c>
      <c r="F1236">
        <v>1235</v>
      </c>
      <c r="G1236">
        <v>96.6</v>
      </c>
      <c r="H1236" t="s">
        <v>1014</v>
      </c>
    </row>
    <row r="1237" spans="1:8">
      <c r="A1237">
        <v>294</v>
      </c>
      <c r="B1237" t="s">
        <v>104</v>
      </c>
      <c r="C1237">
        <v>61</v>
      </c>
      <c r="D1237">
        <v>3</v>
      </c>
      <c r="E1237">
        <v>183</v>
      </c>
      <c r="F1237">
        <v>1236</v>
      </c>
      <c r="G1237">
        <v>96.6</v>
      </c>
      <c r="H1237" t="s">
        <v>1014</v>
      </c>
    </row>
    <row r="1238" spans="1:8">
      <c r="A1238">
        <v>1720</v>
      </c>
      <c r="B1238" t="s">
        <v>1259</v>
      </c>
      <c r="C1238">
        <v>61</v>
      </c>
      <c r="D1238">
        <v>3</v>
      </c>
      <c r="E1238">
        <v>183</v>
      </c>
      <c r="F1238">
        <v>1237</v>
      </c>
      <c r="G1238">
        <v>96.7</v>
      </c>
      <c r="H1238" t="s">
        <v>1014</v>
      </c>
    </row>
    <row r="1239" spans="1:8">
      <c r="A1239">
        <v>3039</v>
      </c>
      <c r="B1239" t="s">
        <v>410</v>
      </c>
      <c r="C1239">
        <v>182</v>
      </c>
      <c r="D1239">
        <v>1</v>
      </c>
      <c r="E1239">
        <v>182</v>
      </c>
      <c r="F1239">
        <v>1238</v>
      </c>
      <c r="G1239">
        <v>96.7</v>
      </c>
      <c r="H1239" t="s">
        <v>1014</v>
      </c>
    </row>
    <row r="1240" spans="1:8">
      <c r="A1240">
        <v>276</v>
      </c>
      <c r="B1240" t="s">
        <v>1260</v>
      </c>
      <c r="C1240">
        <v>30</v>
      </c>
      <c r="D1240">
        <v>6</v>
      </c>
      <c r="E1240">
        <v>180</v>
      </c>
      <c r="F1240">
        <v>1239</v>
      </c>
      <c r="G1240">
        <v>96.7</v>
      </c>
      <c r="H1240" t="s">
        <v>1014</v>
      </c>
    </row>
    <row r="1241" spans="1:8">
      <c r="A1241">
        <v>284</v>
      </c>
      <c r="B1241" t="s">
        <v>1261</v>
      </c>
      <c r="C1241">
        <v>60</v>
      </c>
      <c r="D1241">
        <v>3</v>
      </c>
      <c r="E1241">
        <v>180</v>
      </c>
      <c r="F1241">
        <v>1240</v>
      </c>
      <c r="G1241">
        <v>96.7</v>
      </c>
      <c r="H1241" t="s">
        <v>1014</v>
      </c>
    </row>
    <row r="1242" spans="1:8">
      <c r="A1242">
        <v>541</v>
      </c>
      <c r="B1242" t="s">
        <v>1262</v>
      </c>
      <c r="C1242">
        <v>45</v>
      </c>
      <c r="D1242">
        <v>4</v>
      </c>
      <c r="E1242">
        <v>180</v>
      </c>
      <c r="F1242">
        <v>1241</v>
      </c>
      <c r="G1242">
        <v>96.7</v>
      </c>
      <c r="H1242" t="s">
        <v>1014</v>
      </c>
    </row>
    <row r="1243" spans="1:8">
      <c r="A1243">
        <v>1129</v>
      </c>
      <c r="B1243" t="s">
        <v>1263</v>
      </c>
      <c r="C1243">
        <v>45</v>
      </c>
      <c r="D1243">
        <v>4</v>
      </c>
      <c r="E1243">
        <v>180</v>
      </c>
      <c r="F1243">
        <v>1242</v>
      </c>
      <c r="G1243">
        <v>96.8</v>
      </c>
      <c r="H1243" t="s">
        <v>1014</v>
      </c>
    </row>
    <row r="1244" spans="1:8">
      <c r="A1244">
        <v>1149</v>
      </c>
      <c r="B1244" t="s">
        <v>1264</v>
      </c>
      <c r="C1244">
        <v>30</v>
      </c>
      <c r="D1244">
        <v>6</v>
      </c>
      <c r="E1244">
        <v>180</v>
      </c>
      <c r="F1244">
        <v>1243</v>
      </c>
      <c r="G1244">
        <v>96.8</v>
      </c>
      <c r="H1244" t="s">
        <v>1014</v>
      </c>
    </row>
    <row r="1245" spans="1:8">
      <c r="A1245">
        <v>2640</v>
      </c>
      <c r="B1245" t="s">
        <v>1265</v>
      </c>
      <c r="C1245">
        <v>30</v>
      </c>
      <c r="D1245">
        <v>6</v>
      </c>
      <c r="E1245">
        <v>180</v>
      </c>
      <c r="F1245">
        <v>1244</v>
      </c>
      <c r="G1245">
        <v>96.8</v>
      </c>
      <c r="H1245" t="s">
        <v>1014</v>
      </c>
    </row>
    <row r="1246" spans="1:8">
      <c r="A1246">
        <v>2690</v>
      </c>
      <c r="B1246" t="s">
        <v>1266</v>
      </c>
      <c r="C1246">
        <v>30</v>
      </c>
      <c r="D1246">
        <v>6</v>
      </c>
      <c r="E1246">
        <v>180</v>
      </c>
      <c r="F1246">
        <v>1245</v>
      </c>
      <c r="G1246">
        <v>96.8</v>
      </c>
      <c r="H1246" t="s">
        <v>1014</v>
      </c>
    </row>
    <row r="1247" spans="1:8">
      <c r="A1247">
        <v>2776</v>
      </c>
      <c r="B1247" t="s">
        <v>1267</v>
      </c>
      <c r="C1247">
        <v>45</v>
      </c>
      <c r="D1247">
        <v>4</v>
      </c>
      <c r="E1247">
        <v>180</v>
      </c>
      <c r="F1247">
        <v>1246</v>
      </c>
      <c r="G1247">
        <v>96.8</v>
      </c>
      <c r="H1247" t="s">
        <v>1014</v>
      </c>
    </row>
    <row r="1248" spans="1:8">
      <c r="A1248">
        <v>2777</v>
      </c>
      <c r="B1248" t="s">
        <v>1268</v>
      </c>
      <c r="C1248">
        <v>30</v>
      </c>
      <c r="D1248">
        <v>6</v>
      </c>
      <c r="E1248">
        <v>180</v>
      </c>
      <c r="F1248">
        <v>1247</v>
      </c>
      <c r="G1248">
        <v>96.8</v>
      </c>
      <c r="H1248" t="s">
        <v>1014</v>
      </c>
    </row>
    <row r="1249" spans="1:8">
      <c r="A1249">
        <v>2779</v>
      </c>
      <c r="B1249" t="s">
        <v>1269</v>
      </c>
      <c r="C1249">
        <v>30</v>
      </c>
      <c r="D1249">
        <v>6</v>
      </c>
      <c r="E1249">
        <v>180</v>
      </c>
      <c r="F1249">
        <v>1248</v>
      </c>
      <c r="G1249">
        <v>96.9</v>
      </c>
      <c r="H1249" t="s">
        <v>1014</v>
      </c>
    </row>
    <row r="1250" spans="1:8">
      <c r="A1250">
        <v>2831</v>
      </c>
      <c r="B1250" t="s">
        <v>1270</v>
      </c>
      <c r="C1250">
        <v>180</v>
      </c>
      <c r="D1250">
        <v>1</v>
      </c>
      <c r="E1250">
        <v>180</v>
      </c>
      <c r="F1250">
        <v>1249</v>
      </c>
      <c r="G1250">
        <v>96.9</v>
      </c>
      <c r="H1250" t="s">
        <v>1014</v>
      </c>
    </row>
    <row r="1251" spans="1:8">
      <c r="A1251">
        <v>3002</v>
      </c>
      <c r="B1251" t="s">
        <v>1271</v>
      </c>
      <c r="C1251">
        <v>180</v>
      </c>
      <c r="D1251">
        <v>1</v>
      </c>
      <c r="E1251">
        <v>180</v>
      </c>
      <c r="F1251">
        <v>1250</v>
      </c>
      <c r="G1251">
        <v>96.9</v>
      </c>
      <c r="H1251" t="s">
        <v>1014</v>
      </c>
    </row>
    <row r="1252" spans="1:8">
      <c r="A1252">
        <v>2581</v>
      </c>
      <c r="B1252" t="s">
        <v>1272</v>
      </c>
      <c r="C1252">
        <v>179</v>
      </c>
      <c r="D1252">
        <v>1</v>
      </c>
      <c r="E1252">
        <v>179</v>
      </c>
      <c r="F1252">
        <v>1251</v>
      </c>
      <c r="G1252">
        <v>96.9</v>
      </c>
      <c r="H1252" t="s">
        <v>1014</v>
      </c>
    </row>
    <row r="1253" spans="1:8">
      <c r="A1253">
        <v>158</v>
      </c>
      <c r="B1253" t="s">
        <v>1273</v>
      </c>
      <c r="C1253">
        <v>89</v>
      </c>
      <c r="D1253">
        <v>2</v>
      </c>
      <c r="E1253">
        <v>178</v>
      </c>
      <c r="F1253">
        <v>1252</v>
      </c>
      <c r="G1253">
        <v>96.9</v>
      </c>
      <c r="H1253" t="s">
        <v>1014</v>
      </c>
    </row>
    <row r="1254" spans="1:8">
      <c r="A1254">
        <v>60</v>
      </c>
      <c r="B1254" t="s">
        <v>1274</v>
      </c>
      <c r="C1254">
        <v>59</v>
      </c>
      <c r="D1254">
        <v>3</v>
      </c>
      <c r="E1254">
        <v>177</v>
      </c>
      <c r="F1254">
        <v>1253</v>
      </c>
      <c r="G1254">
        <v>96.9</v>
      </c>
      <c r="H1254" t="s">
        <v>1014</v>
      </c>
    </row>
    <row r="1255" spans="1:8">
      <c r="A1255">
        <v>70</v>
      </c>
      <c r="B1255" t="s">
        <v>1275</v>
      </c>
      <c r="C1255">
        <v>59</v>
      </c>
      <c r="D1255">
        <v>3</v>
      </c>
      <c r="E1255">
        <v>177</v>
      </c>
      <c r="F1255">
        <v>1254</v>
      </c>
      <c r="G1255">
        <v>97</v>
      </c>
      <c r="H1255" t="s">
        <v>1014</v>
      </c>
    </row>
    <row r="1256" spans="1:8">
      <c r="A1256">
        <v>2879</v>
      </c>
      <c r="B1256" t="s">
        <v>1276</v>
      </c>
      <c r="C1256">
        <v>59</v>
      </c>
      <c r="D1256">
        <v>3</v>
      </c>
      <c r="E1256">
        <v>177</v>
      </c>
      <c r="F1256">
        <v>1255</v>
      </c>
      <c r="G1256">
        <v>97</v>
      </c>
      <c r="H1256" t="s">
        <v>1014</v>
      </c>
    </row>
    <row r="1257" spans="1:8">
      <c r="A1257">
        <v>299</v>
      </c>
      <c r="B1257" t="s">
        <v>1277</v>
      </c>
      <c r="C1257">
        <v>44</v>
      </c>
      <c r="D1257">
        <v>4</v>
      </c>
      <c r="E1257">
        <v>176</v>
      </c>
      <c r="F1257">
        <v>1256</v>
      </c>
      <c r="G1257">
        <v>97</v>
      </c>
      <c r="H1257" t="s">
        <v>1014</v>
      </c>
    </row>
    <row r="1258" spans="1:8">
      <c r="A1258">
        <v>2794</v>
      </c>
      <c r="B1258" t="s">
        <v>1278</v>
      </c>
      <c r="C1258">
        <v>88</v>
      </c>
      <c r="D1258">
        <v>2</v>
      </c>
      <c r="E1258">
        <v>176</v>
      </c>
      <c r="F1258">
        <v>1257</v>
      </c>
      <c r="G1258">
        <v>97</v>
      </c>
      <c r="H1258" t="s">
        <v>1014</v>
      </c>
    </row>
    <row r="1259" spans="1:8">
      <c r="A1259">
        <v>3450</v>
      </c>
      <c r="B1259" t="s">
        <v>1279</v>
      </c>
      <c r="C1259">
        <v>175</v>
      </c>
      <c r="D1259">
        <v>1</v>
      </c>
      <c r="E1259">
        <v>175</v>
      </c>
      <c r="F1259">
        <v>1258</v>
      </c>
      <c r="G1259">
        <v>97</v>
      </c>
      <c r="H1259" t="s">
        <v>1014</v>
      </c>
    </row>
    <row r="1260" spans="1:8">
      <c r="A1260">
        <v>156</v>
      </c>
      <c r="B1260" t="s">
        <v>1280</v>
      </c>
      <c r="C1260">
        <v>29</v>
      </c>
      <c r="D1260">
        <v>6</v>
      </c>
      <c r="E1260">
        <v>174</v>
      </c>
      <c r="F1260">
        <v>1259</v>
      </c>
      <c r="G1260">
        <v>97</v>
      </c>
      <c r="H1260" t="s">
        <v>1014</v>
      </c>
    </row>
    <row r="1261" spans="1:8">
      <c r="A1261">
        <v>184</v>
      </c>
      <c r="B1261" t="s">
        <v>1281</v>
      </c>
      <c r="C1261">
        <v>58</v>
      </c>
      <c r="D1261">
        <v>3</v>
      </c>
      <c r="E1261">
        <v>174</v>
      </c>
      <c r="F1261">
        <v>1260</v>
      </c>
      <c r="G1261">
        <v>97.1</v>
      </c>
      <c r="H1261" t="s">
        <v>1014</v>
      </c>
    </row>
    <row r="1262" spans="1:8">
      <c r="A1262">
        <v>254</v>
      </c>
      <c r="B1262" t="s">
        <v>1282</v>
      </c>
      <c r="C1262">
        <v>29</v>
      </c>
      <c r="D1262">
        <v>6</v>
      </c>
      <c r="E1262">
        <v>174</v>
      </c>
      <c r="F1262">
        <v>1261</v>
      </c>
      <c r="G1262">
        <v>97.1</v>
      </c>
      <c r="H1262" t="s">
        <v>1014</v>
      </c>
    </row>
    <row r="1263" spans="1:8">
      <c r="A1263">
        <v>1123</v>
      </c>
      <c r="B1263" t="s">
        <v>1283</v>
      </c>
      <c r="C1263">
        <v>29</v>
      </c>
      <c r="D1263">
        <v>6</v>
      </c>
      <c r="E1263">
        <v>174</v>
      </c>
      <c r="F1263">
        <v>1262</v>
      </c>
      <c r="G1263">
        <v>97.1</v>
      </c>
      <c r="H1263" t="s">
        <v>1014</v>
      </c>
    </row>
    <row r="1264" spans="1:8">
      <c r="A1264">
        <v>2643</v>
      </c>
      <c r="B1264" t="s">
        <v>1284</v>
      </c>
      <c r="C1264">
        <v>29</v>
      </c>
      <c r="D1264">
        <v>6</v>
      </c>
      <c r="E1264">
        <v>174</v>
      </c>
      <c r="F1264">
        <v>1263</v>
      </c>
      <c r="G1264">
        <v>97.1</v>
      </c>
      <c r="H1264" t="s">
        <v>1014</v>
      </c>
    </row>
    <row r="1265" spans="1:8">
      <c r="A1265">
        <v>2703</v>
      </c>
      <c r="B1265" t="s">
        <v>1285</v>
      </c>
      <c r="C1265">
        <v>29</v>
      </c>
      <c r="D1265">
        <v>6</v>
      </c>
      <c r="E1265">
        <v>174</v>
      </c>
      <c r="F1265">
        <v>1264</v>
      </c>
      <c r="G1265">
        <v>97.1</v>
      </c>
      <c r="H1265" t="s">
        <v>1014</v>
      </c>
    </row>
    <row r="1266" spans="1:8">
      <c r="A1266">
        <v>2801</v>
      </c>
      <c r="B1266" t="s">
        <v>1286</v>
      </c>
      <c r="C1266">
        <v>29</v>
      </c>
      <c r="D1266">
        <v>6</v>
      </c>
      <c r="E1266">
        <v>174</v>
      </c>
      <c r="F1266">
        <v>1265</v>
      </c>
      <c r="G1266">
        <v>97.1</v>
      </c>
      <c r="H1266" t="s">
        <v>1014</v>
      </c>
    </row>
    <row r="1267" spans="1:8">
      <c r="A1267">
        <v>3568</v>
      </c>
      <c r="B1267" t="s">
        <v>1287</v>
      </c>
      <c r="C1267">
        <v>29</v>
      </c>
      <c r="D1267">
        <v>6</v>
      </c>
      <c r="E1267">
        <v>174</v>
      </c>
      <c r="F1267">
        <v>1266</v>
      </c>
      <c r="G1267">
        <v>97.2</v>
      </c>
      <c r="H1267" t="s">
        <v>1014</v>
      </c>
    </row>
    <row r="1268" spans="1:8">
      <c r="A1268">
        <v>1160</v>
      </c>
      <c r="B1268" t="s">
        <v>113</v>
      </c>
      <c r="C1268">
        <v>86</v>
      </c>
      <c r="D1268">
        <v>2</v>
      </c>
      <c r="E1268">
        <v>172</v>
      </c>
      <c r="F1268">
        <v>1267</v>
      </c>
      <c r="G1268">
        <v>97.2</v>
      </c>
      <c r="H1268" t="s">
        <v>1014</v>
      </c>
    </row>
    <row r="1269" spans="1:8">
      <c r="A1269">
        <v>21</v>
      </c>
      <c r="B1269" t="s">
        <v>140</v>
      </c>
      <c r="C1269">
        <v>57</v>
      </c>
      <c r="D1269">
        <v>3</v>
      </c>
      <c r="E1269">
        <v>171</v>
      </c>
      <c r="F1269">
        <v>1268</v>
      </c>
      <c r="G1269">
        <v>97.2</v>
      </c>
      <c r="H1269" t="s">
        <v>1014</v>
      </c>
    </row>
    <row r="1270" spans="1:8">
      <c r="A1270">
        <v>1216</v>
      </c>
      <c r="B1270" t="s">
        <v>1288</v>
      </c>
      <c r="C1270">
        <v>169</v>
      </c>
      <c r="D1270">
        <v>1</v>
      </c>
      <c r="E1270">
        <v>169</v>
      </c>
      <c r="F1270">
        <v>1269</v>
      </c>
      <c r="G1270">
        <v>97.2</v>
      </c>
      <c r="H1270" t="s">
        <v>1014</v>
      </c>
    </row>
    <row r="1271" spans="1:8">
      <c r="A1271">
        <v>196</v>
      </c>
      <c r="B1271" t="s">
        <v>1289</v>
      </c>
      <c r="C1271">
        <v>28</v>
      </c>
      <c r="D1271">
        <v>6</v>
      </c>
      <c r="E1271">
        <v>168</v>
      </c>
      <c r="F1271">
        <v>1270</v>
      </c>
      <c r="G1271">
        <v>97.2</v>
      </c>
      <c r="H1271" t="s">
        <v>1014</v>
      </c>
    </row>
    <row r="1272" spans="1:8">
      <c r="A1272">
        <v>228</v>
      </c>
      <c r="B1272" t="s">
        <v>1290</v>
      </c>
      <c r="C1272">
        <v>56</v>
      </c>
      <c r="D1272">
        <v>3</v>
      </c>
      <c r="E1272">
        <v>168</v>
      </c>
      <c r="F1272">
        <v>1271</v>
      </c>
      <c r="G1272">
        <v>97.2</v>
      </c>
      <c r="H1272" t="s">
        <v>1014</v>
      </c>
    </row>
    <row r="1273" spans="1:8">
      <c r="A1273">
        <v>356</v>
      </c>
      <c r="B1273" t="s">
        <v>1291</v>
      </c>
      <c r="C1273">
        <v>56</v>
      </c>
      <c r="D1273">
        <v>3</v>
      </c>
      <c r="E1273">
        <v>168</v>
      </c>
      <c r="F1273">
        <v>1272</v>
      </c>
      <c r="G1273">
        <v>97.2</v>
      </c>
      <c r="H1273" t="s">
        <v>1014</v>
      </c>
    </row>
    <row r="1274" spans="1:8">
      <c r="A1274">
        <v>1152</v>
      </c>
      <c r="B1274" t="s">
        <v>1292</v>
      </c>
      <c r="C1274">
        <v>42</v>
      </c>
      <c r="D1274">
        <v>4</v>
      </c>
      <c r="E1274">
        <v>168</v>
      </c>
      <c r="F1274">
        <v>1273</v>
      </c>
      <c r="G1274">
        <v>97.3</v>
      </c>
      <c r="H1274" t="s">
        <v>1014</v>
      </c>
    </row>
    <row r="1275" spans="1:8">
      <c r="A1275">
        <v>2673</v>
      </c>
      <c r="B1275" t="s">
        <v>1293</v>
      </c>
      <c r="C1275">
        <v>28</v>
      </c>
      <c r="D1275">
        <v>6</v>
      </c>
      <c r="E1275">
        <v>168</v>
      </c>
      <c r="F1275">
        <v>1274</v>
      </c>
      <c r="G1275">
        <v>97.3</v>
      </c>
      <c r="H1275" t="s">
        <v>1014</v>
      </c>
    </row>
    <row r="1276" spans="1:8">
      <c r="A1276">
        <v>3555</v>
      </c>
      <c r="B1276" t="s">
        <v>1294</v>
      </c>
      <c r="C1276">
        <v>28</v>
      </c>
      <c r="D1276">
        <v>6</v>
      </c>
      <c r="E1276">
        <v>168</v>
      </c>
      <c r="F1276">
        <v>1275</v>
      </c>
      <c r="G1276">
        <v>97.3</v>
      </c>
      <c r="H1276" t="s">
        <v>1014</v>
      </c>
    </row>
    <row r="1277" spans="1:8">
      <c r="A1277">
        <v>3573</v>
      </c>
      <c r="B1277" t="s">
        <v>1295</v>
      </c>
      <c r="C1277">
        <v>28</v>
      </c>
      <c r="D1277">
        <v>6</v>
      </c>
      <c r="E1277">
        <v>168</v>
      </c>
      <c r="F1277">
        <v>1276</v>
      </c>
      <c r="G1277">
        <v>97.3</v>
      </c>
      <c r="H1277" t="s">
        <v>1014</v>
      </c>
    </row>
    <row r="1278" spans="1:8">
      <c r="A1278">
        <v>1570</v>
      </c>
      <c r="B1278" t="s">
        <v>1296</v>
      </c>
      <c r="C1278">
        <v>55</v>
      </c>
      <c r="D1278">
        <v>3</v>
      </c>
      <c r="E1278">
        <v>165</v>
      </c>
      <c r="F1278">
        <v>1277</v>
      </c>
      <c r="G1278">
        <v>97.3</v>
      </c>
      <c r="H1278" t="s">
        <v>1014</v>
      </c>
    </row>
    <row r="1279" spans="1:8">
      <c r="A1279">
        <v>1667</v>
      </c>
      <c r="B1279" t="s">
        <v>1297</v>
      </c>
      <c r="C1279">
        <v>55</v>
      </c>
      <c r="D1279">
        <v>3</v>
      </c>
      <c r="E1279">
        <v>165</v>
      </c>
      <c r="F1279">
        <v>1278</v>
      </c>
      <c r="G1279">
        <v>97.3</v>
      </c>
      <c r="H1279" t="s">
        <v>1014</v>
      </c>
    </row>
    <row r="1280" spans="1:8">
      <c r="A1280">
        <v>2557</v>
      </c>
      <c r="B1280" t="s">
        <v>1298</v>
      </c>
      <c r="C1280">
        <v>165</v>
      </c>
      <c r="D1280">
        <v>1</v>
      </c>
      <c r="E1280">
        <v>165</v>
      </c>
      <c r="F1280">
        <v>1279</v>
      </c>
      <c r="G1280">
        <v>97.4</v>
      </c>
      <c r="H1280" t="s">
        <v>1014</v>
      </c>
    </row>
    <row r="1281" spans="1:8">
      <c r="A1281">
        <v>2842</v>
      </c>
      <c r="B1281" t="s">
        <v>1299</v>
      </c>
      <c r="C1281">
        <v>55</v>
      </c>
      <c r="D1281">
        <v>3</v>
      </c>
      <c r="E1281">
        <v>165</v>
      </c>
      <c r="F1281">
        <v>1280</v>
      </c>
      <c r="G1281">
        <v>97.4</v>
      </c>
      <c r="H1281" t="s">
        <v>1014</v>
      </c>
    </row>
    <row r="1282" spans="1:8">
      <c r="A1282">
        <v>3448</v>
      </c>
      <c r="B1282" t="s">
        <v>1300</v>
      </c>
      <c r="C1282">
        <v>55</v>
      </c>
      <c r="D1282">
        <v>3</v>
      </c>
      <c r="E1282">
        <v>165</v>
      </c>
      <c r="F1282">
        <v>1281</v>
      </c>
      <c r="G1282">
        <v>97.4</v>
      </c>
      <c r="H1282" t="s">
        <v>1014</v>
      </c>
    </row>
    <row r="1283" spans="1:8">
      <c r="A1283">
        <v>3715</v>
      </c>
      <c r="B1283" t="s">
        <v>1301</v>
      </c>
      <c r="C1283">
        <v>164</v>
      </c>
      <c r="D1283">
        <v>1</v>
      </c>
      <c r="E1283">
        <v>164</v>
      </c>
      <c r="F1283">
        <v>1282</v>
      </c>
      <c r="G1283">
        <v>97.4</v>
      </c>
      <c r="H1283" t="s">
        <v>1014</v>
      </c>
    </row>
    <row r="1284" spans="1:8">
      <c r="A1284">
        <v>186</v>
      </c>
      <c r="B1284" t="s">
        <v>1302</v>
      </c>
      <c r="C1284">
        <v>81</v>
      </c>
      <c r="D1284">
        <v>2</v>
      </c>
      <c r="E1284">
        <v>162</v>
      </c>
      <c r="F1284">
        <v>1283</v>
      </c>
      <c r="G1284">
        <v>97.4</v>
      </c>
      <c r="H1284" t="s">
        <v>1014</v>
      </c>
    </row>
    <row r="1285" spans="1:8">
      <c r="A1285">
        <v>274</v>
      </c>
      <c r="B1285" t="s">
        <v>1303</v>
      </c>
      <c r="C1285">
        <v>27</v>
      </c>
      <c r="D1285">
        <v>6</v>
      </c>
      <c r="E1285">
        <v>162</v>
      </c>
      <c r="F1285">
        <v>1284</v>
      </c>
      <c r="G1285">
        <v>97.4</v>
      </c>
      <c r="H1285" t="s">
        <v>1014</v>
      </c>
    </row>
    <row r="1286" spans="1:8">
      <c r="A1286">
        <v>2648</v>
      </c>
      <c r="B1286" t="s">
        <v>1304</v>
      </c>
      <c r="C1286">
        <v>54</v>
      </c>
      <c r="D1286">
        <v>3</v>
      </c>
      <c r="E1286">
        <v>162</v>
      </c>
      <c r="F1286">
        <v>1285</v>
      </c>
      <c r="G1286">
        <v>97.5</v>
      </c>
      <c r="H1286" t="s">
        <v>1014</v>
      </c>
    </row>
    <row r="1287" spans="1:8">
      <c r="A1287">
        <v>2665</v>
      </c>
      <c r="B1287" t="s">
        <v>1305</v>
      </c>
      <c r="C1287">
        <v>27</v>
      </c>
      <c r="D1287">
        <v>6</v>
      </c>
      <c r="E1287">
        <v>162</v>
      </c>
      <c r="F1287">
        <v>1286</v>
      </c>
      <c r="G1287">
        <v>97.5</v>
      </c>
      <c r="H1287" t="s">
        <v>1014</v>
      </c>
    </row>
    <row r="1288" spans="1:8">
      <c r="A1288">
        <v>2691</v>
      </c>
      <c r="B1288" t="s">
        <v>1306</v>
      </c>
      <c r="C1288">
        <v>27</v>
      </c>
      <c r="D1288">
        <v>6</v>
      </c>
      <c r="E1288">
        <v>162</v>
      </c>
      <c r="F1288">
        <v>1287</v>
      </c>
      <c r="G1288">
        <v>97.5</v>
      </c>
      <c r="H1288" t="s">
        <v>1014</v>
      </c>
    </row>
    <row r="1289" spans="1:8">
      <c r="A1289">
        <v>2698</v>
      </c>
      <c r="B1289" t="s">
        <v>1307</v>
      </c>
      <c r="C1289">
        <v>27</v>
      </c>
      <c r="D1289">
        <v>6</v>
      </c>
      <c r="E1289">
        <v>162</v>
      </c>
      <c r="F1289">
        <v>1288</v>
      </c>
      <c r="G1289">
        <v>97.5</v>
      </c>
      <c r="H1289" t="s">
        <v>1014</v>
      </c>
    </row>
    <row r="1290" spans="1:8">
      <c r="A1290">
        <v>222</v>
      </c>
      <c r="B1290" t="s">
        <v>1308</v>
      </c>
      <c r="C1290">
        <v>80</v>
      </c>
      <c r="D1290">
        <v>2</v>
      </c>
      <c r="E1290">
        <v>160</v>
      </c>
      <c r="F1290">
        <v>1289</v>
      </c>
      <c r="G1290">
        <v>97.5</v>
      </c>
      <c r="H1290" t="s">
        <v>1014</v>
      </c>
    </row>
    <row r="1291" spans="1:8">
      <c r="A1291">
        <v>257</v>
      </c>
      <c r="B1291" t="s">
        <v>1309</v>
      </c>
      <c r="C1291">
        <v>32</v>
      </c>
      <c r="D1291">
        <v>5</v>
      </c>
      <c r="E1291">
        <v>160</v>
      </c>
      <c r="F1291">
        <v>1290</v>
      </c>
      <c r="G1291">
        <v>97.5</v>
      </c>
      <c r="H1291" t="s">
        <v>1014</v>
      </c>
    </row>
    <row r="1292" spans="1:8">
      <c r="A1292">
        <v>1130</v>
      </c>
      <c r="B1292" t="s">
        <v>1310</v>
      </c>
      <c r="C1292">
        <v>40</v>
      </c>
      <c r="D1292">
        <v>4</v>
      </c>
      <c r="E1292">
        <v>160</v>
      </c>
      <c r="F1292">
        <v>1291</v>
      </c>
      <c r="G1292">
        <v>97.5</v>
      </c>
      <c r="H1292" t="s">
        <v>1014</v>
      </c>
    </row>
    <row r="1293" spans="1:8">
      <c r="A1293">
        <v>1521</v>
      </c>
      <c r="B1293" t="s">
        <v>1311</v>
      </c>
      <c r="C1293">
        <v>40</v>
      </c>
      <c r="D1293">
        <v>4</v>
      </c>
      <c r="E1293">
        <v>160</v>
      </c>
      <c r="F1293">
        <v>1292</v>
      </c>
      <c r="G1293">
        <v>97.6</v>
      </c>
      <c r="H1293" t="s">
        <v>1014</v>
      </c>
    </row>
    <row r="1294" spans="1:8">
      <c r="A1294">
        <v>137</v>
      </c>
      <c r="B1294" t="s">
        <v>131</v>
      </c>
      <c r="C1294">
        <v>79</v>
      </c>
      <c r="D1294">
        <v>2</v>
      </c>
      <c r="E1294">
        <v>158</v>
      </c>
      <c r="F1294">
        <v>1293</v>
      </c>
      <c r="G1294">
        <v>97.6</v>
      </c>
      <c r="H1294" t="s">
        <v>1014</v>
      </c>
    </row>
    <row r="1295" spans="1:8">
      <c r="A1295">
        <v>2582</v>
      </c>
      <c r="B1295" t="s">
        <v>1312</v>
      </c>
      <c r="C1295">
        <v>158</v>
      </c>
      <c r="D1295">
        <v>1</v>
      </c>
      <c r="E1295">
        <v>158</v>
      </c>
      <c r="F1295">
        <v>1294</v>
      </c>
      <c r="G1295">
        <v>97.6</v>
      </c>
      <c r="H1295" t="s">
        <v>1014</v>
      </c>
    </row>
    <row r="1296" spans="1:8">
      <c r="A1296">
        <v>2564</v>
      </c>
      <c r="B1296" t="s">
        <v>1313</v>
      </c>
      <c r="C1296">
        <v>157</v>
      </c>
      <c r="D1296">
        <v>1</v>
      </c>
      <c r="E1296">
        <v>157</v>
      </c>
      <c r="F1296">
        <v>1295</v>
      </c>
      <c r="G1296">
        <v>97.6</v>
      </c>
      <c r="H1296" t="s">
        <v>1014</v>
      </c>
    </row>
    <row r="1297" spans="1:8">
      <c r="A1297">
        <v>1204</v>
      </c>
      <c r="B1297" t="s">
        <v>1314</v>
      </c>
      <c r="C1297">
        <v>156</v>
      </c>
      <c r="D1297">
        <v>1</v>
      </c>
      <c r="E1297">
        <v>156</v>
      </c>
      <c r="F1297">
        <v>1296</v>
      </c>
      <c r="G1297">
        <v>97.6</v>
      </c>
      <c r="H1297" t="s">
        <v>1014</v>
      </c>
    </row>
    <row r="1298" spans="1:8">
      <c r="A1298">
        <v>1490</v>
      </c>
      <c r="B1298" t="s">
        <v>101</v>
      </c>
      <c r="C1298">
        <v>77</v>
      </c>
      <c r="D1298">
        <v>2</v>
      </c>
      <c r="E1298">
        <v>154</v>
      </c>
      <c r="F1298">
        <v>1297</v>
      </c>
      <c r="G1298">
        <v>97.6</v>
      </c>
      <c r="H1298" t="s">
        <v>1014</v>
      </c>
    </row>
    <row r="1299" spans="1:8">
      <c r="A1299">
        <v>1580</v>
      </c>
      <c r="B1299" t="s">
        <v>1315</v>
      </c>
      <c r="C1299">
        <v>77</v>
      </c>
      <c r="D1299">
        <v>2</v>
      </c>
      <c r="E1299">
        <v>154</v>
      </c>
      <c r="F1299">
        <v>1298</v>
      </c>
      <c r="G1299">
        <v>97.6</v>
      </c>
      <c r="H1299" t="s">
        <v>1014</v>
      </c>
    </row>
    <row r="1300" spans="1:8">
      <c r="A1300">
        <v>1672</v>
      </c>
      <c r="B1300" t="s">
        <v>1316</v>
      </c>
      <c r="C1300">
        <v>77</v>
      </c>
      <c r="D1300">
        <v>2</v>
      </c>
      <c r="E1300">
        <v>154</v>
      </c>
      <c r="F1300">
        <v>1299</v>
      </c>
      <c r="G1300">
        <v>97.7</v>
      </c>
      <c r="H1300" t="s">
        <v>1014</v>
      </c>
    </row>
    <row r="1301" spans="1:8">
      <c r="A1301">
        <v>1530</v>
      </c>
      <c r="B1301" t="s">
        <v>1317</v>
      </c>
      <c r="C1301">
        <v>153</v>
      </c>
      <c r="D1301">
        <v>1</v>
      </c>
      <c r="E1301">
        <v>153</v>
      </c>
      <c r="F1301">
        <v>1300</v>
      </c>
      <c r="G1301">
        <v>97.7</v>
      </c>
      <c r="H1301" t="s">
        <v>1014</v>
      </c>
    </row>
    <row r="1302" spans="1:8">
      <c r="A1302">
        <v>72</v>
      </c>
      <c r="B1302" t="s">
        <v>1318</v>
      </c>
      <c r="C1302">
        <v>50</v>
      </c>
      <c r="D1302">
        <v>3</v>
      </c>
      <c r="E1302">
        <v>150</v>
      </c>
      <c r="F1302">
        <v>1301</v>
      </c>
      <c r="G1302">
        <v>97.7</v>
      </c>
      <c r="H1302" t="s">
        <v>1014</v>
      </c>
    </row>
    <row r="1303" spans="1:8">
      <c r="A1303">
        <v>116</v>
      </c>
      <c r="B1303" t="s">
        <v>1319</v>
      </c>
      <c r="C1303">
        <v>25</v>
      </c>
      <c r="D1303">
        <v>6</v>
      </c>
      <c r="E1303">
        <v>150</v>
      </c>
      <c r="F1303">
        <v>1302</v>
      </c>
      <c r="G1303">
        <v>97.7</v>
      </c>
      <c r="H1303" t="s">
        <v>1014</v>
      </c>
    </row>
    <row r="1304" spans="1:8">
      <c r="A1304">
        <v>231</v>
      </c>
      <c r="B1304" t="s">
        <v>1320</v>
      </c>
      <c r="C1304">
        <v>25</v>
      </c>
      <c r="D1304">
        <v>6</v>
      </c>
      <c r="E1304">
        <v>150</v>
      </c>
      <c r="F1304">
        <v>1303</v>
      </c>
      <c r="G1304">
        <v>97.7</v>
      </c>
      <c r="H1304" t="s">
        <v>1014</v>
      </c>
    </row>
    <row r="1305" spans="1:8">
      <c r="A1305">
        <v>334</v>
      </c>
      <c r="B1305" t="s">
        <v>1321</v>
      </c>
      <c r="C1305">
        <v>25</v>
      </c>
      <c r="D1305">
        <v>6</v>
      </c>
      <c r="E1305">
        <v>150</v>
      </c>
      <c r="F1305">
        <v>1304</v>
      </c>
      <c r="G1305">
        <v>97.7</v>
      </c>
      <c r="H1305" t="s">
        <v>1014</v>
      </c>
    </row>
    <row r="1306" spans="1:8">
      <c r="A1306">
        <v>532</v>
      </c>
      <c r="B1306" t="s">
        <v>1322</v>
      </c>
      <c r="C1306">
        <v>75</v>
      </c>
      <c r="D1306">
        <v>2</v>
      </c>
      <c r="E1306">
        <v>150</v>
      </c>
      <c r="F1306">
        <v>1305</v>
      </c>
      <c r="G1306">
        <v>97.7</v>
      </c>
      <c r="H1306" t="s">
        <v>1014</v>
      </c>
    </row>
    <row r="1307" spans="1:8">
      <c r="A1307">
        <v>1522</v>
      </c>
      <c r="B1307" t="s">
        <v>1323</v>
      </c>
      <c r="C1307">
        <v>150</v>
      </c>
      <c r="D1307">
        <v>1</v>
      </c>
      <c r="E1307">
        <v>150</v>
      </c>
      <c r="F1307">
        <v>1306</v>
      </c>
      <c r="G1307">
        <v>97.8</v>
      </c>
      <c r="H1307" t="s">
        <v>1014</v>
      </c>
    </row>
    <row r="1308" spans="1:8">
      <c r="A1308">
        <v>1539</v>
      </c>
      <c r="B1308" t="s">
        <v>1324</v>
      </c>
      <c r="C1308">
        <v>25</v>
      </c>
      <c r="D1308">
        <v>6</v>
      </c>
      <c r="E1308">
        <v>150</v>
      </c>
      <c r="F1308">
        <v>1307</v>
      </c>
      <c r="G1308">
        <v>97.8</v>
      </c>
      <c r="H1308" t="s">
        <v>1014</v>
      </c>
    </row>
    <row r="1309" spans="1:8">
      <c r="A1309">
        <v>1574</v>
      </c>
      <c r="B1309" t="s">
        <v>127</v>
      </c>
      <c r="C1309">
        <v>30</v>
      </c>
      <c r="D1309">
        <v>5</v>
      </c>
      <c r="E1309">
        <v>150</v>
      </c>
      <c r="F1309">
        <v>1308</v>
      </c>
      <c r="G1309">
        <v>97.8</v>
      </c>
      <c r="H1309" t="s">
        <v>1014</v>
      </c>
    </row>
    <row r="1310" spans="1:8">
      <c r="A1310">
        <v>1600</v>
      </c>
      <c r="B1310" t="s">
        <v>1325</v>
      </c>
      <c r="C1310">
        <v>25</v>
      </c>
      <c r="D1310">
        <v>6</v>
      </c>
      <c r="E1310">
        <v>150</v>
      </c>
      <c r="F1310">
        <v>1309</v>
      </c>
      <c r="G1310">
        <v>97.8</v>
      </c>
      <c r="H1310" t="s">
        <v>1014</v>
      </c>
    </row>
    <row r="1311" spans="1:8">
      <c r="A1311">
        <v>2613</v>
      </c>
      <c r="B1311" t="s">
        <v>1326</v>
      </c>
      <c r="C1311">
        <v>30</v>
      </c>
      <c r="D1311">
        <v>5</v>
      </c>
      <c r="E1311">
        <v>150</v>
      </c>
      <c r="F1311">
        <v>1310</v>
      </c>
      <c r="G1311">
        <v>97.8</v>
      </c>
      <c r="H1311" t="s">
        <v>1014</v>
      </c>
    </row>
    <row r="1312" spans="1:8">
      <c r="A1312">
        <v>2633</v>
      </c>
      <c r="B1312" t="s">
        <v>1327</v>
      </c>
      <c r="C1312">
        <v>25</v>
      </c>
      <c r="D1312">
        <v>6</v>
      </c>
      <c r="E1312">
        <v>150</v>
      </c>
      <c r="F1312">
        <v>1311</v>
      </c>
      <c r="G1312">
        <v>97.8</v>
      </c>
      <c r="H1312" t="s">
        <v>1014</v>
      </c>
    </row>
    <row r="1313" spans="1:8">
      <c r="A1313">
        <v>2755</v>
      </c>
      <c r="B1313" t="s">
        <v>1328</v>
      </c>
      <c r="C1313">
        <v>25</v>
      </c>
      <c r="D1313">
        <v>6</v>
      </c>
      <c r="E1313">
        <v>150</v>
      </c>
      <c r="F1313">
        <v>1312</v>
      </c>
      <c r="G1313">
        <v>97.8</v>
      </c>
      <c r="H1313" t="s">
        <v>1014</v>
      </c>
    </row>
    <row r="1314" spans="1:8">
      <c r="A1314">
        <v>2839</v>
      </c>
      <c r="B1314" t="s">
        <v>1329</v>
      </c>
      <c r="C1314">
        <v>25</v>
      </c>
      <c r="D1314">
        <v>6</v>
      </c>
      <c r="E1314">
        <v>150</v>
      </c>
      <c r="F1314">
        <v>1313</v>
      </c>
      <c r="G1314">
        <v>97.9</v>
      </c>
      <c r="H1314" t="s">
        <v>1014</v>
      </c>
    </row>
    <row r="1315" spans="1:8">
      <c r="A1315">
        <v>2877</v>
      </c>
      <c r="B1315" t="s">
        <v>1330</v>
      </c>
      <c r="C1315">
        <v>75</v>
      </c>
      <c r="D1315">
        <v>2</v>
      </c>
      <c r="E1315">
        <v>150</v>
      </c>
      <c r="F1315">
        <v>1314</v>
      </c>
      <c r="G1315">
        <v>97.9</v>
      </c>
      <c r="H1315" t="s">
        <v>1014</v>
      </c>
    </row>
    <row r="1316" spans="1:8">
      <c r="A1316">
        <v>1510</v>
      </c>
      <c r="B1316" t="s">
        <v>1331</v>
      </c>
      <c r="C1316">
        <v>149</v>
      </c>
      <c r="D1316">
        <v>1</v>
      </c>
      <c r="E1316">
        <v>149</v>
      </c>
      <c r="F1316">
        <v>1315</v>
      </c>
      <c r="G1316">
        <v>97.9</v>
      </c>
      <c r="H1316" t="s">
        <v>1014</v>
      </c>
    </row>
    <row r="1317" spans="1:8">
      <c r="A1317">
        <v>8</v>
      </c>
      <c r="B1317" t="s">
        <v>1332</v>
      </c>
      <c r="C1317">
        <v>49</v>
      </c>
      <c r="D1317">
        <v>3</v>
      </c>
      <c r="E1317">
        <v>147</v>
      </c>
      <c r="F1317">
        <v>1316</v>
      </c>
      <c r="G1317">
        <v>97.9</v>
      </c>
      <c r="H1317" t="s">
        <v>1014</v>
      </c>
    </row>
    <row r="1318" spans="1:8">
      <c r="A1318">
        <v>27</v>
      </c>
      <c r="B1318" t="s">
        <v>1333</v>
      </c>
      <c r="C1318">
        <v>49</v>
      </c>
      <c r="D1318">
        <v>3</v>
      </c>
      <c r="E1318">
        <v>147</v>
      </c>
      <c r="F1318">
        <v>1317</v>
      </c>
      <c r="G1318">
        <v>97.9</v>
      </c>
      <c r="H1318" t="s">
        <v>1014</v>
      </c>
    </row>
    <row r="1319" spans="1:8">
      <c r="A1319">
        <v>73</v>
      </c>
      <c r="B1319" t="s">
        <v>1334</v>
      </c>
      <c r="C1319">
        <v>49</v>
      </c>
      <c r="D1319">
        <v>3</v>
      </c>
      <c r="E1319">
        <v>147</v>
      </c>
      <c r="F1319">
        <v>1318</v>
      </c>
      <c r="G1319">
        <v>97.9</v>
      </c>
      <c r="H1319" t="s">
        <v>1014</v>
      </c>
    </row>
    <row r="1320" spans="1:8">
      <c r="A1320">
        <v>2566</v>
      </c>
      <c r="B1320" t="s">
        <v>1335</v>
      </c>
      <c r="C1320">
        <v>147</v>
      </c>
      <c r="D1320">
        <v>1</v>
      </c>
      <c r="E1320">
        <v>147</v>
      </c>
      <c r="F1320">
        <v>1319</v>
      </c>
      <c r="G1320">
        <v>97.9</v>
      </c>
      <c r="H1320" t="s">
        <v>1014</v>
      </c>
    </row>
    <row r="1321" spans="1:8">
      <c r="A1321">
        <v>2933</v>
      </c>
      <c r="B1321" t="s">
        <v>1336</v>
      </c>
      <c r="C1321">
        <v>29</v>
      </c>
      <c r="D1321">
        <v>5</v>
      </c>
      <c r="E1321">
        <v>145</v>
      </c>
      <c r="F1321">
        <v>1320</v>
      </c>
      <c r="G1321">
        <v>98</v>
      </c>
      <c r="H1321" t="s">
        <v>1014</v>
      </c>
    </row>
    <row r="1322" spans="1:8">
      <c r="A1322">
        <v>55</v>
      </c>
      <c r="B1322" t="s">
        <v>1337</v>
      </c>
      <c r="C1322">
        <v>24</v>
      </c>
      <c r="D1322">
        <v>6</v>
      </c>
      <c r="E1322">
        <v>144</v>
      </c>
      <c r="F1322">
        <v>1321</v>
      </c>
      <c r="G1322">
        <v>98</v>
      </c>
      <c r="H1322" t="s">
        <v>1014</v>
      </c>
    </row>
    <row r="1323" spans="1:8">
      <c r="A1323">
        <v>96</v>
      </c>
      <c r="B1323" t="s">
        <v>1338</v>
      </c>
      <c r="C1323">
        <v>24</v>
      </c>
      <c r="D1323">
        <v>6</v>
      </c>
      <c r="E1323">
        <v>144</v>
      </c>
      <c r="F1323">
        <v>1322</v>
      </c>
      <c r="G1323">
        <v>98</v>
      </c>
      <c r="H1323" t="s">
        <v>1014</v>
      </c>
    </row>
    <row r="1324" spans="1:8">
      <c r="A1324">
        <v>283</v>
      </c>
      <c r="B1324" t="s">
        <v>1339</v>
      </c>
      <c r="C1324">
        <v>144</v>
      </c>
      <c r="D1324">
        <v>1</v>
      </c>
      <c r="E1324">
        <v>144</v>
      </c>
      <c r="F1324">
        <v>1323</v>
      </c>
      <c r="G1324">
        <v>98</v>
      </c>
      <c r="H1324" t="s">
        <v>1014</v>
      </c>
    </row>
    <row r="1325" spans="1:8">
      <c r="A1325">
        <v>331</v>
      </c>
      <c r="B1325" t="s">
        <v>1340</v>
      </c>
      <c r="C1325">
        <v>36</v>
      </c>
      <c r="D1325">
        <v>4</v>
      </c>
      <c r="E1325">
        <v>144</v>
      </c>
      <c r="F1325">
        <v>1324</v>
      </c>
      <c r="G1325">
        <v>98</v>
      </c>
      <c r="H1325" t="s">
        <v>1014</v>
      </c>
    </row>
    <row r="1326" spans="1:8">
      <c r="A1326">
        <v>337</v>
      </c>
      <c r="B1326" t="s">
        <v>1341</v>
      </c>
      <c r="C1326">
        <v>48</v>
      </c>
      <c r="D1326">
        <v>3</v>
      </c>
      <c r="E1326">
        <v>144</v>
      </c>
      <c r="F1326">
        <v>1325</v>
      </c>
      <c r="G1326">
        <v>98</v>
      </c>
      <c r="H1326" t="s">
        <v>1014</v>
      </c>
    </row>
    <row r="1327" spans="1:8">
      <c r="A1327">
        <v>2629</v>
      </c>
      <c r="B1327" t="s">
        <v>1342</v>
      </c>
      <c r="C1327">
        <v>72</v>
      </c>
      <c r="D1327">
        <v>2</v>
      </c>
      <c r="E1327">
        <v>144</v>
      </c>
      <c r="F1327">
        <v>1326</v>
      </c>
      <c r="G1327">
        <v>98</v>
      </c>
      <c r="H1327" t="s">
        <v>1014</v>
      </c>
    </row>
    <row r="1328" spans="1:8">
      <c r="A1328">
        <v>3073</v>
      </c>
      <c r="B1328" t="s">
        <v>1343</v>
      </c>
      <c r="C1328">
        <v>72</v>
      </c>
      <c r="D1328">
        <v>2</v>
      </c>
      <c r="E1328">
        <v>144</v>
      </c>
      <c r="F1328">
        <v>1327</v>
      </c>
      <c r="G1328">
        <v>98.1</v>
      </c>
      <c r="H1328" t="s">
        <v>1014</v>
      </c>
    </row>
    <row r="1329" spans="1:8">
      <c r="A1329">
        <v>3645</v>
      </c>
      <c r="B1329" t="s">
        <v>951</v>
      </c>
      <c r="C1329">
        <v>36</v>
      </c>
      <c r="D1329">
        <v>4</v>
      </c>
      <c r="E1329">
        <v>144</v>
      </c>
      <c r="F1329">
        <v>1328</v>
      </c>
      <c r="G1329">
        <v>98.1</v>
      </c>
      <c r="H1329" t="s">
        <v>1014</v>
      </c>
    </row>
    <row r="1330" spans="1:8">
      <c r="A1330">
        <v>330</v>
      </c>
      <c r="B1330" t="s">
        <v>1344</v>
      </c>
      <c r="C1330">
        <v>47</v>
      </c>
      <c r="D1330">
        <v>3</v>
      </c>
      <c r="E1330">
        <v>141</v>
      </c>
      <c r="F1330">
        <v>1329</v>
      </c>
      <c r="G1330">
        <v>98.1</v>
      </c>
      <c r="H1330" t="s">
        <v>1014</v>
      </c>
    </row>
    <row r="1331" spans="1:8">
      <c r="A1331">
        <v>233</v>
      </c>
      <c r="B1331" t="s">
        <v>103</v>
      </c>
      <c r="C1331">
        <v>70</v>
      </c>
      <c r="D1331">
        <v>2</v>
      </c>
      <c r="E1331">
        <v>140</v>
      </c>
      <c r="F1331">
        <v>1330</v>
      </c>
      <c r="G1331">
        <v>98.1</v>
      </c>
      <c r="H1331" t="s">
        <v>1014</v>
      </c>
    </row>
    <row r="1332" spans="1:8">
      <c r="A1332">
        <v>1456</v>
      </c>
      <c r="B1332" t="s">
        <v>1345</v>
      </c>
      <c r="C1332">
        <v>35</v>
      </c>
      <c r="D1332">
        <v>4</v>
      </c>
      <c r="E1332">
        <v>140</v>
      </c>
      <c r="F1332">
        <v>1331</v>
      </c>
      <c r="G1332">
        <v>98.1</v>
      </c>
      <c r="H1332" t="s">
        <v>1014</v>
      </c>
    </row>
    <row r="1333" spans="1:8">
      <c r="A1333">
        <v>1565</v>
      </c>
      <c r="B1333" t="s">
        <v>1346</v>
      </c>
      <c r="C1333">
        <v>140</v>
      </c>
      <c r="D1333">
        <v>1</v>
      </c>
      <c r="E1333">
        <v>140</v>
      </c>
      <c r="F1333">
        <v>1332</v>
      </c>
      <c r="G1333">
        <v>98.1</v>
      </c>
      <c r="H1333" t="s">
        <v>1014</v>
      </c>
    </row>
    <row r="1334" spans="1:8">
      <c r="A1334">
        <v>3586</v>
      </c>
      <c r="B1334" t="s">
        <v>1347</v>
      </c>
      <c r="C1334">
        <v>28</v>
      </c>
      <c r="D1334">
        <v>5</v>
      </c>
      <c r="E1334">
        <v>140</v>
      </c>
      <c r="F1334">
        <v>1333</v>
      </c>
      <c r="G1334">
        <v>98.1</v>
      </c>
      <c r="H1334" t="s">
        <v>1014</v>
      </c>
    </row>
    <row r="1335" spans="1:8">
      <c r="A1335">
        <v>136</v>
      </c>
      <c r="B1335" t="s">
        <v>1348</v>
      </c>
      <c r="C1335">
        <v>23</v>
      </c>
      <c r="D1335">
        <v>6</v>
      </c>
      <c r="E1335">
        <v>138</v>
      </c>
      <c r="F1335">
        <v>1334</v>
      </c>
      <c r="G1335">
        <v>98.1</v>
      </c>
      <c r="H1335" t="s">
        <v>1014</v>
      </c>
    </row>
    <row r="1336" spans="1:8">
      <c r="A1336">
        <v>377</v>
      </c>
      <c r="B1336" t="s">
        <v>1349</v>
      </c>
      <c r="C1336">
        <v>69</v>
      </c>
      <c r="D1336">
        <v>2</v>
      </c>
      <c r="E1336">
        <v>138</v>
      </c>
      <c r="F1336">
        <v>1335</v>
      </c>
      <c r="G1336">
        <v>98.2</v>
      </c>
      <c r="H1336" t="s">
        <v>1014</v>
      </c>
    </row>
    <row r="1337" spans="1:8">
      <c r="A1337">
        <v>1475</v>
      </c>
      <c r="B1337" t="s">
        <v>1350</v>
      </c>
      <c r="C1337">
        <v>69</v>
      </c>
      <c r="D1337">
        <v>2</v>
      </c>
      <c r="E1337">
        <v>138</v>
      </c>
      <c r="F1337">
        <v>1336</v>
      </c>
      <c r="G1337">
        <v>98.2</v>
      </c>
      <c r="H1337" t="s">
        <v>1014</v>
      </c>
    </row>
    <row r="1338" spans="1:8">
      <c r="A1338">
        <v>2642</v>
      </c>
      <c r="B1338" t="s">
        <v>1351</v>
      </c>
      <c r="C1338">
        <v>23</v>
      </c>
      <c r="D1338">
        <v>6</v>
      </c>
      <c r="E1338">
        <v>138</v>
      </c>
      <c r="F1338">
        <v>1337</v>
      </c>
      <c r="G1338">
        <v>98.2</v>
      </c>
      <c r="H1338" t="s">
        <v>1014</v>
      </c>
    </row>
    <row r="1339" spans="1:8">
      <c r="A1339">
        <v>2658</v>
      </c>
      <c r="B1339" t="s">
        <v>1352</v>
      </c>
      <c r="C1339">
        <v>23</v>
      </c>
      <c r="D1339">
        <v>6</v>
      </c>
      <c r="E1339">
        <v>138</v>
      </c>
      <c r="F1339">
        <v>1338</v>
      </c>
      <c r="G1339">
        <v>98.2</v>
      </c>
      <c r="H1339" t="s">
        <v>1014</v>
      </c>
    </row>
    <row r="1340" spans="1:8">
      <c r="A1340">
        <v>32</v>
      </c>
      <c r="B1340" t="s">
        <v>1353</v>
      </c>
      <c r="C1340">
        <v>45</v>
      </c>
      <c r="D1340">
        <v>3</v>
      </c>
      <c r="E1340">
        <v>135</v>
      </c>
      <c r="F1340">
        <v>1339</v>
      </c>
      <c r="G1340">
        <v>98.2</v>
      </c>
      <c r="H1340" t="s">
        <v>1014</v>
      </c>
    </row>
    <row r="1341" spans="1:8">
      <c r="A1341">
        <v>43</v>
      </c>
      <c r="B1341" t="s">
        <v>1354</v>
      </c>
      <c r="C1341">
        <v>45</v>
      </c>
      <c r="D1341">
        <v>3</v>
      </c>
      <c r="E1341">
        <v>135</v>
      </c>
      <c r="F1341">
        <v>1340</v>
      </c>
      <c r="G1341">
        <v>98.2</v>
      </c>
      <c r="H1341" t="s">
        <v>1014</v>
      </c>
    </row>
    <row r="1342" spans="1:8">
      <c r="A1342">
        <v>59</v>
      </c>
      <c r="B1342" t="s">
        <v>1355</v>
      </c>
      <c r="C1342">
        <v>45</v>
      </c>
      <c r="D1342">
        <v>3</v>
      </c>
      <c r="E1342">
        <v>135</v>
      </c>
      <c r="F1342">
        <v>1341</v>
      </c>
      <c r="G1342">
        <v>98.2</v>
      </c>
      <c r="H1342" t="s">
        <v>1014</v>
      </c>
    </row>
    <row r="1343" spans="1:8">
      <c r="A1343">
        <v>2631</v>
      </c>
      <c r="B1343" t="s">
        <v>1356</v>
      </c>
      <c r="C1343">
        <v>22</v>
      </c>
      <c r="D1343">
        <v>6</v>
      </c>
      <c r="E1343">
        <v>135</v>
      </c>
      <c r="F1343">
        <v>1342</v>
      </c>
      <c r="G1343">
        <v>98.2</v>
      </c>
      <c r="H1343" t="s">
        <v>1014</v>
      </c>
    </row>
    <row r="1344" spans="1:8">
      <c r="A1344">
        <v>2875</v>
      </c>
      <c r="B1344" t="s">
        <v>1357</v>
      </c>
      <c r="C1344">
        <v>135</v>
      </c>
      <c r="D1344">
        <v>1</v>
      </c>
      <c r="E1344">
        <v>135</v>
      </c>
      <c r="F1344">
        <v>1343</v>
      </c>
      <c r="G1344">
        <v>98.3</v>
      </c>
      <c r="H1344" t="s">
        <v>1014</v>
      </c>
    </row>
    <row r="1345" spans="1:8">
      <c r="A1345">
        <v>1643</v>
      </c>
      <c r="B1345" t="s">
        <v>151</v>
      </c>
      <c r="C1345">
        <v>133</v>
      </c>
      <c r="D1345">
        <v>1</v>
      </c>
      <c r="E1345">
        <v>133</v>
      </c>
      <c r="F1345">
        <v>1344</v>
      </c>
      <c r="G1345">
        <v>98.3</v>
      </c>
      <c r="H1345" t="s">
        <v>1014</v>
      </c>
    </row>
    <row r="1346" spans="1:8">
      <c r="A1346">
        <v>157</v>
      </c>
      <c r="B1346" t="s">
        <v>103</v>
      </c>
      <c r="C1346">
        <v>33</v>
      </c>
      <c r="D1346">
        <v>4</v>
      </c>
      <c r="E1346">
        <v>132</v>
      </c>
      <c r="F1346">
        <v>1345</v>
      </c>
      <c r="G1346">
        <v>98.3</v>
      </c>
      <c r="H1346" t="s">
        <v>1014</v>
      </c>
    </row>
    <row r="1347" spans="1:8">
      <c r="A1347">
        <v>323</v>
      </c>
      <c r="B1347" t="s">
        <v>161</v>
      </c>
      <c r="C1347">
        <v>22</v>
      </c>
      <c r="D1347">
        <v>6</v>
      </c>
      <c r="E1347">
        <v>132</v>
      </c>
      <c r="F1347">
        <v>1346</v>
      </c>
      <c r="G1347">
        <v>98.3</v>
      </c>
      <c r="H1347" t="s">
        <v>1014</v>
      </c>
    </row>
    <row r="1348" spans="1:8">
      <c r="A1348">
        <v>1126</v>
      </c>
      <c r="B1348" t="s">
        <v>1358</v>
      </c>
      <c r="C1348">
        <v>33</v>
      </c>
      <c r="D1348">
        <v>4</v>
      </c>
      <c r="E1348">
        <v>132</v>
      </c>
      <c r="F1348">
        <v>1347</v>
      </c>
      <c r="G1348">
        <v>98.3</v>
      </c>
      <c r="H1348" t="s">
        <v>1014</v>
      </c>
    </row>
    <row r="1349" spans="1:8">
      <c r="A1349">
        <v>1397</v>
      </c>
      <c r="B1349" t="s">
        <v>1359</v>
      </c>
      <c r="C1349">
        <v>33</v>
      </c>
      <c r="D1349">
        <v>4</v>
      </c>
      <c r="E1349">
        <v>132</v>
      </c>
      <c r="F1349">
        <v>1348</v>
      </c>
      <c r="G1349">
        <v>98.3</v>
      </c>
      <c r="H1349" t="s">
        <v>1014</v>
      </c>
    </row>
    <row r="1350" spans="1:8">
      <c r="A1350">
        <v>1416</v>
      </c>
      <c r="B1350" t="s">
        <v>1360</v>
      </c>
      <c r="C1350">
        <v>22</v>
      </c>
      <c r="D1350">
        <v>6</v>
      </c>
      <c r="E1350">
        <v>132</v>
      </c>
      <c r="F1350">
        <v>1349</v>
      </c>
      <c r="G1350">
        <v>98.3</v>
      </c>
      <c r="H1350" t="s">
        <v>1014</v>
      </c>
    </row>
    <row r="1351" spans="1:8">
      <c r="A1351">
        <v>3473</v>
      </c>
      <c r="B1351" t="s">
        <v>1361</v>
      </c>
      <c r="C1351">
        <v>33</v>
      </c>
      <c r="D1351">
        <v>4</v>
      </c>
      <c r="E1351">
        <v>132</v>
      </c>
      <c r="F1351">
        <v>1350</v>
      </c>
      <c r="G1351">
        <v>98.3</v>
      </c>
      <c r="H1351" t="s">
        <v>1014</v>
      </c>
    </row>
    <row r="1352" spans="1:8">
      <c r="A1352">
        <v>3578</v>
      </c>
      <c r="B1352" t="s">
        <v>1362</v>
      </c>
      <c r="C1352">
        <v>132</v>
      </c>
      <c r="D1352">
        <v>1</v>
      </c>
      <c r="E1352">
        <v>132</v>
      </c>
      <c r="F1352">
        <v>1351</v>
      </c>
      <c r="G1352">
        <v>98.4</v>
      </c>
      <c r="H1352" t="s">
        <v>1014</v>
      </c>
    </row>
    <row r="1353" spans="1:8">
      <c r="A1353">
        <v>179</v>
      </c>
      <c r="B1353" t="s">
        <v>1363</v>
      </c>
      <c r="C1353">
        <v>65</v>
      </c>
      <c r="D1353">
        <v>2</v>
      </c>
      <c r="E1353">
        <v>130</v>
      </c>
      <c r="F1353">
        <v>1352</v>
      </c>
      <c r="G1353">
        <v>98.4</v>
      </c>
      <c r="H1353" t="s">
        <v>1014</v>
      </c>
    </row>
    <row r="1354" spans="1:8">
      <c r="A1354">
        <v>3</v>
      </c>
      <c r="B1354" t="s">
        <v>1364</v>
      </c>
      <c r="C1354">
        <v>43</v>
      </c>
      <c r="D1354">
        <v>3</v>
      </c>
      <c r="E1354">
        <v>129</v>
      </c>
      <c r="F1354">
        <v>1353</v>
      </c>
      <c r="G1354">
        <v>98.4</v>
      </c>
      <c r="H1354" t="s">
        <v>1014</v>
      </c>
    </row>
    <row r="1355" spans="1:8">
      <c r="A1355">
        <v>198</v>
      </c>
      <c r="B1355" t="s">
        <v>1365</v>
      </c>
      <c r="C1355">
        <v>43</v>
      </c>
      <c r="D1355">
        <v>3</v>
      </c>
      <c r="E1355">
        <v>129</v>
      </c>
      <c r="F1355">
        <v>1354</v>
      </c>
      <c r="G1355">
        <v>98.4</v>
      </c>
      <c r="H1355" t="s">
        <v>1014</v>
      </c>
    </row>
    <row r="1356" spans="1:8">
      <c r="A1356">
        <v>2635</v>
      </c>
      <c r="B1356" t="s">
        <v>1366</v>
      </c>
      <c r="C1356">
        <v>42</v>
      </c>
      <c r="D1356">
        <v>3</v>
      </c>
      <c r="E1356">
        <v>126</v>
      </c>
      <c r="F1356">
        <v>1355</v>
      </c>
      <c r="G1356">
        <v>98.4</v>
      </c>
      <c r="H1356" t="s">
        <v>1014</v>
      </c>
    </row>
    <row r="1357" spans="1:8">
      <c r="A1357">
        <v>2929</v>
      </c>
      <c r="B1357" t="s">
        <v>154</v>
      </c>
      <c r="C1357">
        <v>126</v>
      </c>
      <c r="D1357">
        <v>1</v>
      </c>
      <c r="E1357">
        <v>126</v>
      </c>
      <c r="F1357">
        <v>1356</v>
      </c>
      <c r="G1357">
        <v>98.4</v>
      </c>
      <c r="H1357" t="s">
        <v>1014</v>
      </c>
    </row>
    <row r="1358" spans="1:8">
      <c r="A1358">
        <v>185</v>
      </c>
      <c r="B1358" t="s">
        <v>1367</v>
      </c>
      <c r="C1358">
        <v>125</v>
      </c>
      <c r="D1358">
        <v>1</v>
      </c>
      <c r="E1358">
        <v>125</v>
      </c>
      <c r="F1358">
        <v>1357</v>
      </c>
      <c r="G1358">
        <v>98.4</v>
      </c>
      <c r="H1358" t="s">
        <v>1014</v>
      </c>
    </row>
    <row r="1359" spans="1:8">
      <c r="A1359">
        <v>264</v>
      </c>
      <c r="B1359" t="s">
        <v>1368</v>
      </c>
      <c r="C1359">
        <v>25</v>
      </c>
      <c r="D1359">
        <v>5</v>
      </c>
      <c r="E1359">
        <v>125</v>
      </c>
      <c r="F1359">
        <v>1358</v>
      </c>
      <c r="G1359">
        <v>98.4</v>
      </c>
      <c r="H1359" t="s">
        <v>1014</v>
      </c>
    </row>
    <row r="1360" spans="1:8">
      <c r="A1360">
        <v>398</v>
      </c>
      <c r="B1360" t="s">
        <v>1369</v>
      </c>
      <c r="C1360">
        <v>25</v>
      </c>
      <c r="D1360">
        <v>5</v>
      </c>
      <c r="E1360">
        <v>125</v>
      </c>
      <c r="F1360">
        <v>1359</v>
      </c>
      <c r="G1360">
        <v>98.5</v>
      </c>
      <c r="H1360" t="s">
        <v>1014</v>
      </c>
    </row>
    <row r="1361" spans="1:8">
      <c r="A1361">
        <v>2876</v>
      </c>
      <c r="B1361" t="s">
        <v>1370</v>
      </c>
      <c r="C1361">
        <v>25</v>
      </c>
      <c r="D1361">
        <v>5</v>
      </c>
      <c r="E1361">
        <v>125</v>
      </c>
      <c r="F1361">
        <v>1360</v>
      </c>
      <c r="G1361">
        <v>98.5</v>
      </c>
      <c r="H1361" t="s">
        <v>1014</v>
      </c>
    </row>
    <row r="1362" spans="1:8">
      <c r="A1362">
        <v>114</v>
      </c>
      <c r="B1362" t="s">
        <v>1371</v>
      </c>
      <c r="C1362">
        <v>62</v>
      </c>
      <c r="D1362">
        <v>2</v>
      </c>
      <c r="E1362">
        <v>124</v>
      </c>
      <c r="F1362">
        <v>1361</v>
      </c>
      <c r="G1362">
        <v>98.5</v>
      </c>
      <c r="H1362" t="s">
        <v>1014</v>
      </c>
    </row>
    <row r="1363" spans="1:8">
      <c r="A1363">
        <v>1124</v>
      </c>
      <c r="B1363" t="s">
        <v>1372</v>
      </c>
      <c r="C1363">
        <v>31</v>
      </c>
      <c r="D1363">
        <v>4</v>
      </c>
      <c r="E1363">
        <v>124</v>
      </c>
      <c r="F1363">
        <v>1362</v>
      </c>
      <c r="G1363">
        <v>98.5</v>
      </c>
      <c r="H1363" t="s">
        <v>1014</v>
      </c>
    </row>
    <row r="1364" spans="1:8">
      <c r="A1364">
        <v>1406</v>
      </c>
      <c r="B1364" t="s">
        <v>1373</v>
      </c>
      <c r="C1364">
        <v>124</v>
      </c>
      <c r="D1364">
        <v>1</v>
      </c>
      <c r="E1364">
        <v>124</v>
      </c>
      <c r="F1364">
        <v>1363</v>
      </c>
      <c r="G1364">
        <v>98.5</v>
      </c>
      <c r="H1364" t="s">
        <v>1014</v>
      </c>
    </row>
    <row r="1365" spans="1:8">
      <c r="A1365">
        <v>2651</v>
      </c>
      <c r="B1365" t="s">
        <v>1374</v>
      </c>
      <c r="C1365">
        <v>41</v>
      </c>
      <c r="D1365">
        <v>3</v>
      </c>
      <c r="E1365">
        <v>123</v>
      </c>
      <c r="F1365">
        <v>1364</v>
      </c>
      <c r="G1365">
        <v>98.5</v>
      </c>
      <c r="H1365" t="s">
        <v>1014</v>
      </c>
    </row>
    <row r="1366" spans="1:8">
      <c r="A1366">
        <v>3683</v>
      </c>
      <c r="B1366" t="s">
        <v>1375</v>
      </c>
      <c r="C1366">
        <v>123</v>
      </c>
      <c r="D1366">
        <v>1</v>
      </c>
      <c r="E1366">
        <v>123</v>
      </c>
      <c r="F1366">
        <v>1365</v>
      </c>
      <c r="G1366">
        <v>98.5</v>
      </c>
      <c r="H1366" t="s">
        <v>1014</v>
      </c>
    </row>
    <row r="1367" spans="1:8">
      <c r="A1367">
        <v>2661</v>
      </c>
      <c r="B1367" t="s">
        <v>1376</v>
      </c>
      <c r="C1367">
        <v>61</v>
      </c>
      <c r="D1367">
        <v>2</v>
      </c>
      <c r="E1367">
        <v>122</v>
      </c>
      <c r="F1367">
        <v>1366</v>
      </c>
      <c r="G1367">
        <v>98.5</v>
      </c>
      <c r="H1367" t="s">
        <v>1014</v>
      </c>
    </row>
    <row r="1368" spans="1:8">
      <c r="A1368">
        <v>3507</v>
      </c>
      <c r="B1368" t="s">
        <v>1377</v>
      </c>
      <c r="C1368">
        <v>122</v>
      </c>
      <c r="D1368">
        <v>1</v>
      </c>
      <c r="E1368">
        <v>122</v>
      </c>
      <c r="F1368">
        <v>1367</v>
      </c>
      <c r="G1368">
        <v>98.5</v>
      </c>
      <c r="H1368" t="s">
        <v>1014</v>
      </c>
    </row>
    <row r="1369" spans="1:8">
      <c r="A1369">
        <v>178</v>
      </c>
      <c r="B1369" t="s">
        <v>102</v>
      </c>
      <c r="C1369">
        <v>60</v>
      </c>
      <c r="D1369">
        <v>2</v>
      </c>
      <c r="E1369">
        <v>120</v>
      </c>
      <c r="F1369">
        <v>1368</v>
      </c>
      <c r="G1369">
        <v>98.6</v>
      </c>
      <c r="H1369" t="s">
        <v>1014</v>
      </c>
    </row>
    <row r="1370" spans="1:8">
      <c r="A1370">
        <v>200</v>
      </c>
      <c r="B1370" t="s">
        <v>1378</v>
      </c>
      <c r="C1370">
        <v>20</v>
      </c>
      <c r="D1370">
        <v>6</v>
      </c>
      <c r="E1370">
        <v>120</v>
      </c>
      <c r="F1370">
        <v>1369</v>
      </c>
      <c r="G1370">
        <v>98.6</v>
      </c>
      <c r="H1370" t="s">
        <v>1014</v>
      </c>
    </row>
    <row r="1371" spans="1:8">
      <c r="A1371">
        <v>1482</v>
      </c>
      <c r="B1371" t="s">
        <v>1379</v>
      </c>
      <c r="C1371">
        <v>40</v>
      </c>
      <c r="D1371">
        <v>3</v>
      </c>
      <c r="E1371">
        <v>120</v>
      </c>
      <c r="F1371">
        <v>1370</v>
      </c>
      <c r="G1371">
        <v>98.6</v>
      </c>
      <c r="H1371" t="s">
        <v>1014</v>
      </c>
    </row>
    <row r="1372" spans="1:8">
      <c r="A1372">
        <v>1656</v>
      </c>
      <c r="B1372" t="s">
        <v>1380</v>
      </c>
      <c r="C1372">
        <v>120</v>
      </c>
      <c r="D1372">
        <v>1</v>
      </c>
      <c r="E1372">
        <v>120</v>
      </c>
      <c r="F1372">
        <v>1371</v>
      </c>
      <c r="G1372">
        <v>98.6</v>
      </c>
      <c r="H1372" t="s">
        <v>1014</v>
      </c>
    </row>
    <row r="1373" spans="1:8">
      <c r="A1373">
        <v>2617</v>
      </c>
      <c r="B1373" t="s">
        <v>98</v>
      </c>
      <c r="C1373">
        <v>20</v>
      </c>
      <c r="D1373">
        <v>6</v>
      </c>
      <c r="E1373">
        <v>120</v>
      </c>
      <c r="F1373">
        <v>1372</v>
      </c>
      <c r="G1373">
        <v>98.6</v>
      </c>
      <c r="H1373" t="s">
        <v>1014</v>
      </c>
    </row>
    <row r="1374" spans="1:8">
      <c r="A1374">
        <v>2652</v>
      </c>
      <c r="B1374" t="s">
        <v>1381</v>
      </c>
      <c r="C1374">
        <v>20</v>
      </c>
      <c r="D1374">
        <v>6</v>
      </c>
      <c r="E1374">
        <v>120</v>
      </c>
      <c r="F1374">
        <v>1373</v>
      </c>
      <c r="G1374">
        <v>98.6</v>
      </c>
      <c r="H1374" t="s">
        <v>1014</v>
      </c>
    </row>
    <row r="1375" spans="1:8">
      <c r="A1375">
        <v>2708</v>
      </c>
      <c r="B1375" t="s">
        <v>1382</v>
      </c>
      <c r="C1375">
        <v>60</v>
      </c>
      <c r="D1375">
        <v>2</v>
      </c>
      <c r="E1375">
        <v>120</v>
      </c>
      <c r="F1375">
        <v>1374</v>
      </c>
      <c r="G1375">
        <v>98.6</v>
      </c>
      <c r="H1375" t="s">
        <v>1014</v>
      </c>
    </row>
    <row r="1376" spans="1:8">
      <c r="A1376">
        <v>2785</v>
      </c>
      <c r="B1376" t="s">
        <v>1383</v>
      </c>
      <c r="C1376">
        <v>30</v>
      </c>
      <c r="D1376">
        <v>4</v>
      </c>
      <c r="E1376">
        <v>120</v>
      </c>
      <c r="F1376">
        <v>1375</v>
      </c>
      <c r="G1376">
        <v>98.6</v>
      </c>
      <c r="H1376" t="s">
        <v>1014</v>
      </c>
    </row>
    <row r="1377" spans="1:8">
      <c r="A1377">
        <v>3597</v>
      </c>
      <c r="B1377" t="s">
        <v>165</v>
      </c>
      <c r="C1377">
        <v>20</v>
      </c>
      <c r="D1377">
        <v>6</v>
      </c>
      <c r="E1377">
        <v>120</v>
      </c>
      <c r="F1377">
        <v>1376</v>
      </c>
      <c r="G1377">
        <v>98.7</v>
      </c>
      <c r="H1377" t="s">
        <v>1014</v>
      </c>
    </row>
    <row r="1378" spans="1:8">
      <c r="A1378">
        <v>3636</v>
      </c>
      <c r="B1378" t="s">
        <v>1384</v>
      </c>
      <c r="C1378">
        <v>20</v>
      </c>
      <c r="D1378">
        <v>6</v>
      </c>
      <c r="E1378">
        <v>120</v>
      </c>
      <c r="F1378">
        <v>1377</v>
      </c>
      <c r="G1378">
        <v>98.7</v>
      </c>
      <c r="H1378" t="s">
        <v>1014</v>
      </c>
    </row>
    <row r="1379" spans="1:8">
      <c r="A1379">
        <v>3637</v>
      </c>
      <c r="B1379" t="s">
        <v>1385</v>
      </c>
      <c r="C1379">
        <v>20</v>
      </c>
      <c r="D1379">
        <v>6</v>
      </c>
      <c r="E1379">
        <v>120</v>
      </c>
      <c r="F1379">
        <v>1378</v>
      </c>
      <c r="G1379">
        <v>98.7</v>
      </c>
      <c r="H1379" t="s">
        <v>1014</v>
      </c>
    </row>
    <row r="1380" spans="1:8">
      <c r="A1380">
        <v>3646</v>
      </c>
      <c r="B1380" t="s">
        <v>1386</v>
      </c>
      <c r="C1380">
        <v>20</v>
      </c>
      <c r="D1380">
        <v>6</v>
      </c>
      <c r="E1380">
        <v>120</v>
      </c>
      <c r="F1380">
        <v>1379</v>
      </c>
      <c r="G1380">
        <v>98.7</v>
      </c>
      <c r="H1380" t="s">
        <v>1014</v>
      </c>
    </row>
    <row r="1381" spans="1:8">
      <c r="A1381">
        <v>2778</v>
      </c>
      <c r="B1381" t="s">
        <v>1387</v>
      </c>
      <c r="C1381">
        <v>119</v>
      </c>
      <c r="D1381">
        <v>1</v>
      </c>
      <c r="E1381">
        <v>119</v>
      </c>
      <c r="F1381">
        <v>1380</v>
      </c>
      <c r="G1381">
        <v>98.7</v>
      </c>
      <c r="H1381" t="s">
        <v>1014</v>
      </c>
    </row>
    <row r="1382" spans="1:8">
      <c r="A1382">
        <v>1390</v>
      </c>
      <c r="B1382" t="s">
        <v>1388</v>
      </c>
      <c r="C1382">
        <v>118</v>
      </c>
      <c r="D1382">
        <v>1</v>
      </c>
      <c r="E1382">
        <v>118</v>
      </c>
      <c r="F1382">
        <v>1381</v>
      </c>
      <c r="G1382">
        <v>98.7</v>
      </c>
      <c r="H1382" t="s">
        <v>1014</v>
      </c>
    </row>
    <row r="1383" spans="1:8">
      <c r="A1383">
        <v>67</v>
      </c>
      <c r="B1383" t="s">
        <v>1389</v>
      </c>
      <c r="C1383">
        <v>39</v>
      </c>
      <c r="D1383">
        <v>3</v>
      </c>
      <c r="E1383">
        <v>117</v>
      </c>
      <c r="F1383">
        <v>1382</v>
      </c>
      <c r="G1383">
        <v>98.7</v>
      </c>
      <c r="H1383" t="s">
        <v>1014</v>
      </c>
    </row>
    <row r="1384" spans="1:8">
      <c r="A1384">
        <v>1499</v>
      </c>
      <c r="B1384" t="s">
        <v>1390</v>
      </c>
      <c r="C1384">
        <v>39</v>
      </c>
      <c r="D1384">
        <v>3</v>
      </c>
      <c r="E1384">
        <v>117</v>
      </c>
      <c r="F1384">
        <v>1383</v>
      </c>
      <c r="G1384">
        <v>98.7</v>
      </c>
      <c r="H1384" t="s">
        <v>1014</v>
      </c>
    </row>
    <row r="1385" spans="1:8">
      <c r="A1385">
        <v>2645</v>
      </c>
      <c r="B1385" t="s">
        <v>1391</v>
      </c>
      <c r="C1385">
        <v>29</v>
      </c>
      <c r="D1385">
        <v>4</v>
      </c>
      <c r="E1385">
        <v>116</v>
      </c>
      <c r="F1385">
        <v>1384</v>
      </c>
      <c r="G1385">
        <v>98.7</v>
      </c>
      <c r="H1385" t="s">
        <v>1014</v>
      </c>
    </row>
    <row r="1386" spans="1:8">
      <c r="A1386">
        <v>1442</v>
      </c>
      <c r="B1386" t="s">
        <v>1392</v>
      </c>
      <c r="C1386">
        <v>115</v>
      </c>
      <c r="D1386">
        <v>1</v>
      </c>
      <c r="E1386">
        <v>115</v>
      </c>
      <c r="F1386">
        <v>1385</v>
      </c>
      <c r="G1386">
        <v>98.8</v>
      </c>
      <c r="H1386" t="s">
        <v>1014</v>
      </c>
    </row>
    <row r="1387" spans="1:8">
      <c r="A1387">
        <v>77</v>
      </c>
      <c r="B1387" t="s">
        <v>1393</v>
      </c>
      <c r="C1387">
        <v>19</v>
      </c>
      <c r="D1387">
        <v>6</v>
      </c>
      <c r="E1387">
        <v>114</v>
      </c>
      <c r="F1387">
        <v>1386</v>
      </c>
      <c r="G1387">
        <v>98.8</v>
      </c>
      <c r="H1387" t="s">
        <v>1014</v>
      </c>
    </row>
    <row r="1388" spans="1:8">
      <c r="A1388">
        <v>155</v>
      </c>
      <c r="B1388" t="s">
        <v>1394</v>
      </c>
      <c r="C1388">
        <v>38</v>
      </c>
      <c r="D1388">
        <v>3</v>
      </c>
      <c r="E1388">
        <v>114</v>
      </c>
      <c r="F1388">
        <v>1387</v>
      </c>
      <c r="G1388">
        <v>98.8</v>
      </c>
      <c r="H1388" t="s">
        <v>1014</v>
      </c>
    </row>
    <row r="1389" spans="1:8">
      <c r="A1389">
        <v>1400</v>
      </c>
      <c r="B1389" t="s">
        <v>1395</v>
      </c>
      <c r="C1389">
        <v>114</v>
      </c>
      <c r="D1389">
        <v>1</v>
      </c>
      <c r="E1389">
        <v>114</v>
      </c>
      <c r="F1389">
        <v>1388</v>
      </c>
      <c r="G1389">
        <v>98.8</v>
      </c>
      <c r="H1389" t="s">
        <v>1014</v>
      </c>
    </row>
    <row r="1390" spans="1:8">
      <c r="A1390">
        <v>1579</v>
      </c>
      <c r="B1390" t="s">
        <v>1396</v>
      </c>
      <c r="C1390">
        <v>114</v>
      </c>
      <c r="D1390">
        <v>1</v>
      </c>
      <c r="E1390">
        <v>114</v>
      </c>
      <c r="F1390">
        <v>1389</v>
      </c>
      <c r="G1390">
        <v>98.8</v>
      </c>
      <c r="H1390" t="s">
        <v>1014</v>
      </c>
    </row>
    <row r="1391" spans="1:8">
      <c r="A1391">
        <v>2675</v>
      </c>
      <c r="B1391" t="s">
        <v>1397</v>
      </c>
      <c r="C1391">
        <v>56</v>
      </c>
      <c r="D1391">
        <v>2</v>
      </c>
      <c r="E1391">
        <v>112</v>
      </c>
      <c r="F1391">
        <v>1390</v>
      </c>
      <c r="G1391">
        <v>98.8</v>
      </c>
      <c r="H1391" t="s">
        <v>1014</v>
      </c>
    </row>
    <row r="1392" spans="1:8">
      <c r="A1392">
        <v>142</v>
      </c>
      <c r="B1392" t="s">
        <v>1398</v>
      </c>
      <c r="C1392">
        <v>37</v>
      </c>
      <c r="D1392">
        <v>3</v>
      </c>
      <c r="E1392">
        <v>111</v>
      </c>
      <c r="F1392">
        <v>1391</v>
      </c>
      <c r="G1392">
        <v>98.8</v>
      </c>
      <c r="H1392" t="s">
        <v>1014</v>
      </c>
    </row>
    <row r="1393" spans="1:8">
      <c r="A1393">
        <v>1659</v>
      </c>
      <c r="B1393" t="s">
        <v>1399</v>
      </c>
      <c r="C1393">
        <v>55</v>
      </c>
      <c r="D1393">
        <v>2</v>
      </c>
      <c r="E1393">
        <v>110</v>
      </c>
      <c r="F1393">
        <v>1392</v>
      </c>
      <c r="G1393">
        <v>98.8</v>
      </c>
      <c r="H1393" t="s">
        <v>1014</v>
      </c>
    </row>
    <row r="1394" spans="1:8">
      <c r="A1394">
        <v>2616</v>
      </c>
      <c r="B1394" t="s">
        <v>1400</v>
      </c>
      <c r="C1394">
        <v>22</v>
      </c>
      <c r="D1394">
        <v>5</v>
      </c>
      <c r="E1394">
        <v>110</v>
      </c>
      <c r="F1394">
        <v>1393</v>
      </c>
      <c r="G1394">
        <v>98.8</v>
      </c>
      <c r="H1394" t="s">
        <v>1014</v>
      </c>
    </row>
    <row r="1395" spans="1:8">
      <c r="A1395">
        <v>143</v>
      </c>
      <c r="B1395" t="s">
        <v>1401</v>
      </c>
      <c r="C1395">
        <v>18</v>
      </c>
      <c r="D1395">
        <v>6</v>
      </c>
      <c r="E1395">
        <v>108</v>
      </c>
      <c r="F1395">
        <v>1394</v>
      </c>
      <c r="G1395">
        <v>98.8</v>
      </c>
      <c r="H1395" t="s">
        <v>1014</v>
      </c>
    </row>
    <row r="1396" spans="1:8">
      <c r="A1396">
        <v>1575</v>
      </c>
      <c r="B1396" t="s">
        <v>1402</v>
      </c>
      <c r="C1396">
        <v>54</v>
      </c>
      <c r="D1396">
        <v>2</v>
      </c>
      <c r="E1396">
        <v>108</v>
      </c>
      <c r="F1396">
        <v>1395</v>
      </c>
      <c r="G1396">
        <v>98.9</v>
      </c>
      <c r="H1396" t="s">
        <v>1014</v>
      </c>
    </row>
    <row r="1397" spans="1:8">
      <c r="A1397">
        <v>2</v>
      </c>
      <c r="B1397" t="s">
        <v>1403</v>
      </c>
      <c r="C1397">
        <v>35</v>
      </c>
      <c r="D1397">
        <v>3</v>
      </c>
      <c r="E1397">
        <v>105</v>
      </c>
      <c r="F1397">
        <v>1396</v>
      </c>
      <c r="G1397">
        <v>98.9</v>
      </c>
      <c r="H1397" t="s">
        <v>1014</v>
      </c>
    </row>
    <row r="1398" spans="1:8">
      <c r="A1398">
        <v>16</v>
      </c>
      <c r="B1398" t="s">
        <v>1404</v>
      </c>
      <c r="C1398">
        <v>35</v>
      </c>
      <c r="D1398">
        <v>3</v>
      </c>
      <c r="E1398">
        <v>105</v>
      </c>
      <c r="F1398">
        <v>1397</v>
      </c>
      <c r="G1398">
        <v>98.9</v>
      </c>
      <c r="H1398" t="s">
        <v>1014</v>
      </c>
    </row>
    <row r="1399" spans="1:8">
      <c r="A1399">
        <v>53</v>
      </c>
      <c r="B1399" t="s">
        <v>1405</v>
      </c>
      <c r="C1399">
        <v>35</v>
      </c>
      <c r="D1399">
        <v>3</v>
      </c>
      <c r="E1399">
        <v>105</v>
      </c>
      <c r="F1399">
        <v>1398</v>
      </c>
      <c r="G1399">
        <v>98.9</v>
      </c>
      <c r="H1399" t="s">
        <v>1014</v>
      </c>
    </row>
    <row r="1400" spans="1:8">
      <c r="A1400">
        <v>61</v>
      </c>
      <c r="B1400" t="s">
        <v>1406</v>
      </c>
      <c r="C1400">
        <v>35</v>
      </c>
      <c r="D1400">
        <v>3</v>
      </c>
      <c r="E1400">
        <v>105</v>
      </c>
      <c r="F1400">
        <v>1399</v>
      </c>
      <c r="G1400">
        <v>98.9</v>
      </c>
      <c r="H1400" t="s">
        <v>1014</v>
      </c>
    </row>
    <row r="1401" spans="1:8">
      <c r="A1401">
        <v>2621</v>
      </c>
      <c r="B1401" t="s">
        <v>153</v>
      </c>
      <c r="C1401">
        <v>35</v>
      </c>
      <c r="D1401">
        <v>3</v>
      </c>
      <c r="E1401">
        <v>105</v>
      </c>
      <c r="F1401">
        <v>1400</v>
      </c>
      <c r="G1401">
        <v>98.9</v>
      </c>
      <c r="H1401" t="s">
        <v>1014</v>
      </c>
    </row>
    <row r="1402" spans="1:8">
      <c r="A1402">
        <v>54</v>
      </c>
      <c r="B1402" t="s">
        <v>1407</v>
      </c>
      <c r="C1402">
        <v>17</v>
      </c>
      <c r="D1402">
        <v>6</v>
      </c>
      <c r="E1402">
        <v>102</v>
      </c>
      <c r="F1402">
        <v>1401</v>
      </c>
      <c r="G1402">
        <v>98.9</v>
      </c>
      <c r="H1402" t="s">
        <v>1014</v>
      </c>
    </row>
    <row r="1403" spans="1:8">
      <c r="A1403">
        <v>171</v>
      </c>
      <c r="B1403" t="s">
        <v>1408</v>
      </c>
      <c r="C1403">
        <v>34</v>
      </c>
      <c r="D1403">
        <v>3</v>
      </c>
      <c r="E1403">
        <v>102</v>
      </c>
      <c r="F1403">
        <v>1402</v>
      </c>
      <c r="G1403">
        <v>98.9</v>
      </c>
      <c r="H1403" t="s">
        <v>1014</v>
      </c>
    </row>
    <row r="1404" spans="1:8">
      <c r="A1404">
        <v>1156</v>
      </c>
      <c r="B1404" t="s">
        <v>113</v>
      </c>
      <c r="C1404">
        <v>17</v>
      </c>
      <c r="D1404">
        <v>6</v>
      </c>
      <c r="E1404">
        <v>102</v>
      </c>
      <c r="F1404">
        <v>1403</v>
      </c>
      <c r="G1404">
        <v>98.9</v>
      </c>
      <c r="H1404" t="s">
        <v>1014</v>
      </c>
    </row>
    <row r="1405" spans="1:8">
      <c r="A1405">
        <v>2669</v>
      </c>
      <c r="B1405" t="s">
        <v>1409</v>
      </c>
      <c r="C1405">
        <v>34</v>
      </c>
      <c r="D1405">
        <v>3</v>
      </c>
      <c r="E1405">
        <v>102</v>
      </c>
      <c r="F1405">
        <v>1404</v>
      </c>
      <c r="G1405">
        <v>98.9</v>
      </c>
      <c r="H1405" t="s">
        <v>1014</v>
      </c>
    </row>
    <row r="1406" spans="1:8">
      <c r="A1406">
        <v>3550</v>
      </c>
      <c r="B1406" t="s">
        <v>1410</v>
      </c>
      <c r="C1406">
        <v>102</v>
      </c>
      <c r="D1406">
        <v>1</v>
      </c>
      <c r="E1406">
        <v>102</v>
      </c>
      <c r="F1406">
        <v>1405</v>
      </c>
      <c r="G1406">
        <v>99</v>
      </c>
      <c r="H1406" t="s">
        <v>1014</v>
      </c>
    </row>
    <row r="1407" spans="1:8">
      <c r="A1407">
        <v>166</v>
      </c>
      <c r="B1407" t="s">
        <v>148</v>
      </c>
      <c r="C1407">
        <v>25</v>
      </c>
      <c r="D1407">
        <v>4</v>
      </c>
      <c r="E1407">
        <v>100</v>
      </c>
      <c r="F1407">
        <v>1406</v>
      </c>
      <c r="G1407">
        <v>99</v>
      </c>
      <c r="H1407" t="s">
        <v>1014</v>
      </c>
    </row>
    <row r="1408" spans="1:8">
      <c r="A1408">
        <v>208</v>
      </c>
      <c r="B1408" t="s">
        <v>1411</v>
      </c>
      <c r="C1408">
        <v>50</v>
      </c>
      <c r="D1408">
        <v>2</v>
      </c>
      <c r="E1408">
        <v>100</v>
      </c>
      <c r="F1408">
        <v>1407</v>
      </c>
      <c r="G1408">
        <v>99</v>
      </c>
      <c r="H1408" t="s">
        <v>1014</v>
      </c>
    </row>
    <row r="1409" spans="1:8">
      <c r="A1409">
        <v>298</v>
      </c>
      <c r="B1409" t="s">
        <v>1412</v>
      </c>
      <c r="C1409">
        <v>50</v>
      </c>
      <c r="D1409">
        <v>2</v>
      </c>
      <c r="E1409">
        <v>100</v>
      </c>
      <c r="F1409">
        <v>1408</v>
      </c>
      <c r="G1409">
        <v>99</v>
      </c>
      <c r="H1409" t="s">
        <v>1014</v>
      </c>
    </row>
    <row r="1410" spans="1:8">
      <c r="A1410">
        <v>450</v>
      </c>
      <c r="B1410" t="s">
        <v>1413</v>
      </c>
      <c r="C1410">
        <v>100</v>
      </c>
      <c r="D1410">
        <v>1</v>
      </c>
      <c r="E1410">
        <v>100</v>
      </c>
      <c r="F1410">
        <v>1409</v>
      </c>
      <c r="G1410">
        <v>99</v>
      </c>
      <c r="H1410" t="s">
        <v>1014</v>
      </c>
    </row>
    <row r="1411" spans="1:8">
      <c r="A1411">
        <v>1122</v>
      </c>
      <c r="B1411" t="s">
        <v>1414</v>
      </c>
      <c r="C1411">
        <v>25</v>
      </c>
      <c r="D1411">
        <v>4</v>
      </c>
      <c r="E1411">
        <v>100</v>
      </c>
      <c r="F1411">
        <v>1410</v>
      </c>
      <c r="G1411">
        <v>99</v>
      </c>
      <c r="H1411" t="s">
        <v>1014</v>
      </c>
    </row>
    <row r="1412" spans="1:8">
      <c r="A1412">
        <v>1484</v>
      </c>
      <c r="B1412" t="s">
        <v>1415</v>
      </c>
      <c r="C1412">
        <v>50</v>
      </c>
      <c r="D1412">
        <v>2</v>
      </c>
      <c r="E1412">
        <v>100</v>
      </c>
      <c r="F1412">
        <v>1411</v>
      </c>
      <c r="G1412">
        <v>99</v>
      </c>
      <c r="H1412" t="s">
        <v>1014</v>
      </c>
    </row>
    <row r="1413" spans="1:8">
      <c r="A1413">
        <v>2626</v>
      </c>
      <c r="B1413" t="s">
        <v>1416</v>
      </c>
      <c r="C1413">
        <v>25</v>
      </c>
      <c r="D1413">
        <v>4</v>
      </c>
      <c r="E1413">
        <v>100</v>
      </c>
      <c r="F1413">
        <v>1412</v>
      </c>
      <c r="G1413">
        <v>99</v>
      </c>
      <c r="H1413" t="s">
        <v>1014</v>
      </c>
    </row>
    <row r="1414" spans="1:8">
      <c r="A1414">
        <v>2967</v>
      </c>
      <c r="B1414" t="s">
        <v>137</v>
      </c>
      <c r="C1414">
        <v>100</v>
      </c>
      <c r="D1414">
        <v>1</v>
      </c>
      <c r="E1414">
        <v>100</v>
      </c>
      <c r="F1414">
        <v>1413</v>
      </c>
      <c r="G1414">
        <v>99</v>
      </c>
      <c r="H1414" t="s">
        <v>1014</v>
      </c>
    </row>
    <row r="1415" spans="1:8">
      <c r="A1415">
        <v>2847</v>
      </c>
      <c r="B1415" t="s">
        <v>1417</v>
      </c>
      <c r="C1415">
        <v>99</v>
      </c>
      <c r="D1415">
        <v>1</v>
      </c>
      <c r="E1415">
        <v>99</v>
      </c>
      <c r="F1415">
        <v>1414</v>
      </c>
      <c r="G1415">
        <v>99</v>
      </c>
      <c r="H1415" t="s">
        <v>1014</v>
      </c>
    </row>
    <row r="1416" spans="1:8">
      <c r="A1416">
        <v>3712</v>
      </c>
      <c r="B1416" t="s">
        <v>1418</v>
      </c>
      <c r="C1416">
        <v>99</v>
      </c>
      <c r="D1416">
        <v>1</v>
      </c>
      <c r="E1416">
        <v>99</v>
      </c>
      <c r="F1416">
        <v>1415</v>
      </c>
      <c r="G1416">
        <v>99</v>
      </c>
      <c r="H1416" t="s">
        <v>1014</v>
      </c>
    </row>
    <row r="1417" spans="1:8">
      <c r="A1417">
        <v>68</v>
      </c>
      <c r="B1417" t="s">
        <v>1419</v>
      </c>
      <c r="C1417">
        <v>49</v>
      </c>
      <c r="D1417">
        <v>2</v>
      </c>
      <c r="E1417">
        <v>98</v>
      </c>
      <c r="F1417">
        <v>1416</v>
      </c>
      <c r="G1417">
        <v>99.1</v>
      </c>
      <c r="H1417" t="s">
        <v>1014</v>
      </c>
    </row>
    <row r="1418" spans="1:8">
      <c r="A1418">
        <v>468</v>
      </c>
      <c r="B1418" t="s">
        <v>1066</v>
      </c>
      <c r="C1418">
        <v>49</v>
      </c>
      <c r="D1418">
        <v>2</v>
      </c>
      <c r="E1418">
        <v>98</v>
      </c>
      <c r="F1418">
        <v>1417</v>
      </c>
      <c r="G1418">
        <v>99.1</v>
      </c>
      <c r="H1418" t="s">
        <v>1014</v>
      </c>
    </row>
    <row r="1419" spans="1:8">
      <c r="A1419">
        <v>57</v>
      </c>
      <c r="B1419" t="s">
        <v>1420</v>
      </c>
      <c r="C1419">
        <v>32</v>
      </c>
      <c r="D1419">
        <v>3</v>
      </c>
      <c r="E1419">
        <v>96</v>
      </c>
      <c r="F1419">
        <v>1418</v>
      </c>
      <c r="G1419">
        <v>99.1</v>
      </c>
      <c r="H1419" t="s">
        <v>1014</v>
      </c>
    </row>
    <row r="1420" spans="1:8">
      <c r="A1420">
        <v>1517</v>
      </c>
      <c r="B1420" t="s">
        <v>1421</v>
      </c>
      <c r="C1420">
        <v>32</v>
      </c>
      <c r="D1420">
        <v>3</v>
      </c>
      <c r="E1420">
        <v>96</v>
      </c>
      <c r="F1420">
        <v>1419</v>
      </c>
      <c r="G1420">
        <v>99.1</v>
      </c>
      <c r="H1420" t="s">
        <v>1014</v>
      </c>
    </row>
    <row r="1421" spans="1:8">
      <c r="A1421">
        <v>3472</v>
      </c>
      <c r="B1421" t="s">
        <v>1422</v>
      </c>
      <c r="C1421">
        <v>16</v>
      </c>
      <c r="D1421">
        <v>6</v>
      </c>
      <c r="E1421">
        <v>96</v>
      </c>
      <c r="F1421">
        <v>1420</v>
      </c>
      <c r="G1421">
        <v>99.1</v>
      </c>
      <c r="H1421" t="s">
        <v>1014</v>
      </c>
    </row>
    <row r="1422" spans="1:8">
      <c r="A1422">
        <v>211</v>
      </c>
      <c r="B1422" t="s">
        <v>1423</v>
      </c>
      <c r="C1422">
        <v>95</v>
      </c>
      <c r="D1422">
        <v>1</v>
      </c>
      <c r="E1422">
        <v>95</v>
      </c>
      <c r="F1422">
        <v>1421</v>
      </c>
      <c r="G1422">
        <v>99.1</v>
      </c>
      <c r="H1422" t="s">
        <v>1014</v>
      </c>
    </row>
    <row r="1423" spans="1:8">
      <c r="A1423">
        <v>121</v>
      </c>
      <c r="B1423" t="s">
        <v>1424</v>
      </c>
      <c r="C1423">
        <v>94</v>
      </c>
      <c r="D1423">
        <v>1</v>
      </c>
      <c r="E1423">
        <v>94</v>
      </c>
      <c r="F1423">
        <v>1422</v>
      </c>
      <c r="G1423">
        <v>99.1</v>
      </c>
      <c r="H1423" t="s">
        <v>1014</v>
      </c>
    </row>
    <row r="1424" spans="1:8">
      <c r="A1424">
        <v>239</v>
      </c>
      <c r="B1424" t="s">
        <v>1425</v>
      </c>
      <c r="C1424">
        <v>47</v>
      </c>
      <c r="D1424">
        <v>2</v>
      </c>
      <c r="E1424">
        <v>94</v>
      </c>
      <c r="F1424">
        <v>1423</v>
      </c>
      <c r="G1424">
        <v>99.1</v>
      </c>
      <c r="H1424" t="s">
        <v>1014</v>
      </c>
    </row>
    <row r="1425" spans="1:8">
      <c r="A1425">
        <v>2639</v>
      </c>
      <c r="B1425" t="s">
        <v>153</v>
      </c>
      <c r="C1425">
        <v>94</v>
      </c>
      <c r="D1425">
        <v>1</v>
      </c>
      <c r="E1425">
        <v>94</v>
      </c>
      <c r="F1425">
        <v>1424</v>
      </c>
      <c r="G1425">
        <v>99.1</v>
      </c>
      <c r="H1425" t="s">
        <v>1014</v>
      </c>
    </row>
    <row r="1426" spans="1:8">
      <c r="A1426">
        <v>83</v>
      </c>
      <c r="B1426" t="s">
        <v>1426</v>
      </c>
      <c r="C1426">
        <v>31</v>
      </c>
      <c r="D1426">
        <v>3</v>
      </c>
      <c r="E1426">
        <v>93</v>
      </c>
      <c r="F1426">
        <v>1425</v>
      </c>
      <c r="G1426">
        <v>99.1</v>
      </c>
      <c r="H1426" t="s">
        <v>1014</v>
      </c>
    </row>
    <row r="1427" spans="1:8">
      <c r="A1427">
        <v>19</v>
      </c>
      <c r="B1427" t="s">
        <v>1427</v>
      </c>
      <c r="C1427">
        <v>30</v>
      </c>
      <c r="D1427">
        <v>3</v>
      </c>
      <c r="E1427">
        <v>90</v>
      </c>
      <c r="F1427">
        <v>1426</v>
      </c>
      <c r="G1427">
        <v>99.1</v>
      </c>
      <c r="H1427" t="s">
        <v>1014</v>
      </c>
    </row>
    <row r="1428" spans="1:8">
      <c r="A1428">
        <v>28</v>
      </c>
      <c r="B1428" t="s">
        <v>1428</v>
      </c>
      <c r="C1428">
        <v>30</v>
      </c>
      <c r="D1428">
        <v>3</v>
      </c>
      <c r="E1428">
        <v>90</v>
      </c>
      <c r="F1428">
        <v>1427</v>
      </c>
      <c r="G1428">
        <v>99.2</v>
      </c>
      <c r="H1428" t="s">
        <v>1014</v>
      </c>
    </row>
    <row r="1429" spans="1:8">
      <c r="A1429">
        <v>36</v>
      </c>
      <c r="B1429" t="s">
        <v>1429</v>
      </c>
      <c r="C1429">
        <v>30</v>
      </c>
      <c r="D1429">
        <v>3</v>
      </c>
      <c r="E1429">
        <v>90</v>
      </c>
      <c r="F1429">
        <v>1428</v>
      </c>
      <c r="G1429">
        <v>99.2</v>
      </c>
      <c r="H1429" t="s">
        <v>1014</v>
      </c>
    </row>
    <row r="1430" spans="1:8">
      <c r="A1430">
        <v>126</v>
      </c>
      <c r="B1430" t="s">
        <v>1430</v>
      </c>
      <c r="C1430">
        <v>15</v>
      </c>
      <c r="D1430">
        <v>6</v>
      </c>
      <c r="E1430">
        <v>90</v>
      </c>
      <c r="F1430">
        <v>1429</v>
      </c>
      <c r="G1430">
        <v>99.2</v>
      </c>
      <c r="H1430" t="s">
        <v>1014</v>
      </c>
    </row>
    <row r="1431" spans="1:8">
      <c r="A1431">
        <v>135</v>
      </c>
      <c r="B1431" t="s">
        <v>1004</v>
      </c>
      <c r="C1431">
        <v>15</v>
      </c>
      <c r="D1431">
        <v>6</v>
      </c>
      <c r="E1431">
        <v>90</v>
      </c>
      <c r="F1431">
        <v>1430</v>
      </c>
      <c r="G1431">
        <v>99.2</v>
      </c>
      <c r="H1431" t="s">
        <v>1014</v>
      </c>
    </row>
    <row r="1432" spans="1:8">
      <c r="A1432">
        <v>277</v>
      </c>
      <c r="B1432" t="s">
        <v>1431</v>
      </c>
      <c r="C1432">
        <v>45</v>
      </c>
      <c r="D1432">
        <v>2</v>
      </c>
      <c r="E1432">
        <v>90</v>
      </c>
      <c r="F1432">
        <v>1431</v>
      </c>
      <c r="G1432">
        <v>99.2</v>
      </c>
      <c r="H1432" t="s">
        <v>1014</v>
      </c>
    </row>
    <row r="1433" spans="1:8">
      <c r="A1433">
        <v>1404</v>
      </c>
      <c r="B1433" t="s">
        <v>1432</v>
      </c>
      <c r="C1433">
        <v>15</v>
      </c>
      <c r="D1433">
        <v>6</v>
      </c>
      <c r="E1433">
        <v>90</v>
      </c>
      <c r="F1433">
        <v>1432</v>
      </c>
      <c r="G1433">
        <v>99.2</v>
      </c>
      <c r="H1433" t="s">
        <v>1014</v>
      </c>
    </row>
    <row r="1434" spans="1:8">
      <c r="A1434">
        <v>1425</v>
      </c>
      <c r="B1434" t="s">
        <v>1433</v>
      </c>
      <c r="C1434">
        <v>15</v>
      </c>
      <c r="D1434">
        <v>6</v>
      </c>
      <c r="E1434">
        <v>90</v>
      </c>
      <c r="F1434">
        <v>1433</v>
      </c>
      <c r="G1434">
        <v>99.2</v>
      </c>
      <c r="H1434" t="s">
        <v>1014</v>
      </c>
    </row>
    <row r="1435" spans="1:8">
      <c r="A1435">
        <v>2668</v>
      </c>
      <c r="B1435" t="s">
        <v>1434</v>
      </c>
      <c r="C1435">
        <v>30</v>
      </c>
      <c r="D1435">
        <v>3</v>
      </c>
      <c r="E1435">
        <v>90</v>
      </c>
      <c r="F1435">
        <v>1434</v>
      </c>
      <c r="G1435">
        <v>99.2</v>
      </c>
      <c r="H1435" t="s">
        <v>1014</v>
      </c>
    </row>
    <row r="1436" spans="1:8">
      <c r="A1436">
        <v>2682</v>
      </c>
      <c r="B1436" t="s">
        <v>1435</v>
      </c>
      <c r="C1436">
        <v>30</v>
      </c>
      <c r="D1436">
        <v>3</v>
      </c>
      <c r="E1436">
        <v>90</v>
      </c>
      <c r="F1436">
        <v>1435</v>
      </c>
      <c r="G1436">
        <v>99.2</v>
      </c>
      <c r="H1436" t="s">
        <v>1014</v>
      </c>
    </row>
    <row r="1437" spans="1:8">
      <c r="A1437">
        <v>2696</v>
      </c>
      <c r="B1437" t="s">
        <v>1436</v>
      </c>
      <c r="C1437">
        <v>45</v>
      </c>
      <c r="D1437">
        <v>2</v>
      </c>
      <c r="E1437">
        <v>90</v>
      </c>
      <c r="F1437">
        <v>1436</v>
      </c>
      <c r="G1437">
        <v>99.2</v>
      </c>
      <c r="H1437" t="s">
        <v>1014</v>
      </c>
    </row>
    <row r="1438" spans="1:8">
      <c r="A1438">
        <v>224</v>
      </c>
      <c r="B1438" t="s">
        <v>1437</v>
      </c>
      <c r="C1438">
        <v>44</v>
      </c>
      <c r="D1438">
        <v>2</v>
      </c>
      <c r="E1438">
        <v>88</v>
      </c>
      <c r="F1438">
        <v>1437</v>
      </c>
      <c r="G1438">
        <v>99.2</v>
      </c>
      <c r="H1438" t="s">
        <v>1014</v>
      </c>
    </row>
    <row r="1439" spans="1:8">
      <c r="A1439">
        <v>328</v>
      </c>
      <c r="B1439" t="s">
        <v>148</v>
      </c>
      <c r="C1439">
        <v>44</v>
      </c>
      <c r="D1439">
        <v>2</v>
      </c>
      <c r="E1439">
        <v>88</v>
      </c>
      <c r="F1439">
        <v>1438</v>
      </c>
      <c r="G1439">
        <v>99.2</v>
      </c>
      <c r="H1439" t="s">
        <v>1014</v>
      </c>
    </row>
    <row r="1440" spans="1:8">
      <c r="A1440">
        <v>1133</v>
      </c>
      <c r="B1440" t="s">
        <v>1438</v>
      </c>
      <c r="C1440">
        <v>22</v>
      </c>
      <c r="D1440">
        <v>4</v>
      </c>
      <c r="E1440">
        <v>88</v>
      </c>
      <c r="F1440">
        <v>1439</v>
      </c>
      <c r="G1440">
        <v>99.3</v>
      </c>
      <c r="H1440" t="s">
        <v>1014</v>
      </c>
    </row>
    <row r="1441" spans="1:8">
      <c r="A1441">
        <v>2609</v>
      </c>
      <c r="B1441" t="s">
        <v>1439</v>
      </c>
      <c r="C1441">
        <v>22</v>
      </c>
      <c r="D1441">
        <v>4</v>
      </c>
      <c r="E1441">
        <v>88</v>
      </c>
      <c r="F1441">
        <v>1440</v>
      </c>
      <c r="G1441">
        <v>99.3</v>
      </c>
      <c r="H1441" t="s">
        <v>1014</v>
      </c>
    </row>
    <row r="1442" spans="1:8">
      <c r="A1442">
        <v>6</v>
      </c>
      <c r="B1442" t="s">
        <v>126</v>
      </c>
      <c r="C1442">
        <v>29</v>
      </c>
      <c r="D1442">
        <v>3</v>
      </c>
      <c r="E1442">
        <v>87</v>
      </c>
      <c r="F1442">
        <v>1441</v>
      </c>
      <c r="G1442">
        <v>99.3</v>
      </c>
      <c r="H1442" t="s">
        <v>1014</v>
      </c>
    </row>
    <row r="1443" spans="1:8">
      <c r="A1443">
        <v>50</v>
      </c>
      <c r="B1443" t="s">
        <v>1440</v>
      </c>
      <c r="C1443">
        <v>29</v>
      </c>
      <c r="D1443">
        <v>3</v>
      </c>
      <c r="E1443">
        <v>87</v>
      </c>
      <c r="F1443">
        <v>1442</v>
      </c>
      <c r="G1443">
        <v>99.3</v>
      </c>
      <c r="H1443" t="s">
        <v>1014</v>
      </c>
    </row>
    <row r="1444" spans="1:8">
      <c r="A1444">
        <v>51</v>
      </c>
      <c r="B1444" t="s">
        <v>1441</v>
      </c>
      <c r="C1444">
        <v>29</v>
      </c>
      <c r="D1444">
        <v>3</v>
      </c>
      <c r="E1444">
        <v>87</v>
      </c>
      <c r="F1444">
        <v>1443</v>
      </c>
      <c r="G1444">
        <v>99.3</v>
      </c>
      <c r="H1444" t="s">
        <v>1014</v>
      </c>
    </row>
    <row r="1445" spans="1:8">
      <c r="A1445">
        <v>52</v>
      </c>
      <c r="B1445" t="s">
        <v>1442</v>
      </c>
      <c r="C1445">
        <v>29</v>
      </c>
      <c r="D1445">
        <v>3</v>
      </c>
      <c r="E1445">
        <v>87</v>
      </c>
      <c r="F1445">
        <v>1444</v>
      </c>
      <c r="G1445">
        <v>99.3</v>
      </c>
      <c r="H1445" t="s">
        <v>1014</v>
      </c>
    </row>
    <row r="1446" spans="1:8">
      <c r="A1446">
        <v>56</v>
      </c>
      <c r="B1446" t="s">
        <v>1443</v>
      </c>
      <c r="C1446">
        <v>29</v>
      </c>
      <c r="D1446">
        <v>3</v>
      </c>
      <c r="E1446">
        <v>87</v>
      </c>
      <c r="F1446">
        <v>1445</v>
      </c>
      <c r="G1446">
        <v>99.3</v>
      </c>
      <c r="H1446" t="s">
        <v>1014</v>
      </c>
    </row>
    <row r="1447" spans="1:8">
      <c r="A1447">
        <v>2772</v>
      </c>
      <c r="B1447" t="s">
        <v>1444</v>
      </c>
      <c r="C1447">
        <v>29</v>
      </c>
      <c r="D1447">
        <v>3</v>
      </c>
      <c r="E1447">
        <v>87</v>
      </c>
      <c r="F1447">
        <v>1446</v>
      </c>
      <c r="G1447">
        <v>99.3</v>
      </c>
      <c r="H1447" t="s">
        <v>1014</v>
      </c>
    </row>
    <row r="1448" spans="1:8">
      <c r="A1448">
        <v>25</v>
      </c>
      <c r="B1448" t="s">
        <v>1445</v>
      </c>
      <c r="C1448">
        <v>28</v>
      </c>
      <c r="D1448">
        <v>3</v>
      </c>
      <c r="E1448">
        <v>84</v>
      </c>
      <c r="F1448">
        <v>1447</v>
      </c>
      <c r="G1448">
        <v>99.3</v>
      </c>
      <c r="H1448" t="s">
        <v>1014</v>
      </c>
    </row>
    <row r="1449" spans="1:8">
      <c r="A1449">
        <v>1586</v>
      </c>
      <c r="B1449" t="s">
        <v>1446</v>
      </c>
      <c r="C1449">
        <v>42</v>
      </c>
      <c r="D1449">
        <v>2</v>
      </c>
      <c r="E1449">
        <v>84</v>
      </c>
      <c r="F1449">
        <v>1448</v>
      </c>
      <c r="G1449">
        <v>99.3</v>
      </c>
      <c r="H1449" t="s">
        <v>1014</v>
      </c>
    </row>
    <row r="1450" spans="1:8">
      <c r="A1450">
        <v>3644</v>
      </c>
      <c r="B1450" t="s">
        <v>1447</v>
      </c>
      <c r="C1450">
        <v>42</v>
      </c>
      <c r="D1450">
        <v>2</v>
      </c>
      <c r="E1450">
        <v>84</v>
      </c>
      <c r="F1450">
        <v>1449</v>
      </c>
      <c r="G1450">
        <v>99.3</v>
      </c>
      <c r="H1450" t="s">
        <v>1014</v>
      </c>
    </row>
    <row r="1451" spans="1:8">
      <c r="A1451">
        <v>177</v>
      </c>
      <c r="B1451" t="s">
        <v>123</v>
      </c>
      <c r="C1451">
        <v>41</v>
      </c>
      <c r="D1451">
        <v>2</v>
      </c>
      <c r="E1451">
        <v>82</v>
      </c>
      <c r="F1451">
        <v>1450</v>
      </c>
      <c r="G1451">
        <v>99.3</v>
      </c>
      <c r="H1451" t="s">
        <v>1014</v>
      </c>
    </row>
    <row r="1452" spans="1:8">
      <c r="A1452">
        <v>42</v>
      </c>
      <c r="B1452" t="s">
        <v>1448</v>
      </c>
      <c r="C1452">
        <v>27</v>
      </c>
      <c r="D1452">
        <v>3</v>
      </c>
      <c r="E1452">
        <v>81</v>
      </c>
      <c r="F1452">
        <v>1451</v>
      </c>
      <c r="G1452">
        <v>99.4</v>
      </c>
      <c r="H1452" t="s">
        <v>1014</v>
      </c>
    </row>
    <row r="1453" spans="1:8">
      <c r="A1453">
        <v>45</v>
      </c>
      <c r="B1453" t="s">
        <v>1449</v>
      </c>
      <c r="C1453">
        <v>27</v>
      </c>
      <c r="D1453">
        <v>3</v>
      </c>
      <c r="E1453">
        <v>81</v>
      </c>
      <c r="F1453">
        <v>1452</v>
      </c>
      <c r="G1453">
        <v>99.4</v>
      </c>
      <c r="H1453" t="s">
        <v>1014</v>
      </c>
    </row>
    <row r="1454" spans="1:8">
      <c r="A1454">
        <v>1618</v>
      </c>
      <c r="B1454" t="s">
        <v>173</v>
      </c>
      <c r="C1454">
        <v>81</v>
      </c>
      <c r="D1454">
        <v>1</v>
      </c>
      <c r="E1454">
        <v>81</v>
      </c>
      <c r="F1454">
        <v>1453</v>
      </c>
      <c r="G1454">
        <v>99.4</v>
      </c>
      <c r="H1454" t="s">
        <v>1014</v>
      </c>
    </row>
    <row r="1455" spans="1:8">
      <c r="A1455">
        <v>2634</v>
      </c>
      <c r="B1455" t="s">
        <v>1450</v>
      </c>
      <c r="C1455">
        <v>27</v>
      </c>
      <c r="D1455">
        <v>3</v>
      </c>
      <c r="E1455">
        <v>81</v>
      </c>
      <c r="F1455">
        <v>1454</v>
      </c>
      <c r="G1455">
        <v>99.4</v>
      </c>
      <c r="H1455" t="s">
        <v>1014</v>
      </c>
    </row>
    <row r="1456" spans="1:8">
      <c r="A1456">
        <v>2663</v>
      </c>
      <c r="B1456" t="s">
        <v>1451</v>
      </c>
      <c r="C1456">
        <v>27</v>
      </c>
      <c r="D1456">
        <v>3</v>
      </c>
      <c r="E1456">
        <v>81</v>
      </c>
      <c r="F1456">
        <v>1455</v>
      </c>
      <c r="G1456">
        <v>99.4</v>
      </c>
      <c r="H1456" t="s">
        <v>1014</v>
      </c>
    </row>
    <row r="1457" spans="1:8">
      <c r="A1457">
        <v>2916</v>
      </c>
      <c r="B1457" t="s">
        <v>100</v>
      </c>
      <c r="C1457">
        <v>81</v>
      </c>
      <c r="D1457">
        <v>1</v>
      </c>
      <c r="E1457">
        <v>81</v>
      </c>
      <c r="F1457">
        <v>1456</v>
      </c>
      <c r="G1457">
        <v>99.4</v>
      </c>
      <c r="H1457" t="s">
        <v>1014</v>
      </c>
    </row>
    <row r="1458" spans="1:8">
      <c r="A1458">
        <v>390</v>
      </c>
      <c r="B1458" t="s">
        <v>1452</v>
      </c>
      <c r="C1458">
        <v>80</v>
      </c>
      <c r="D1458">
        <v>1</v>
      </c>
      <c r="E1458">
        <v>80</v>
      </c>
      <c r="F1458">
        <v>1457</v>
      </c>
      <c r="G1458">
        <v>99.4</v>
      </c>
      <c r="H1458" t="s">
        <v>1014</v>
      </c>
    </row>
    <row r="1459" spans="1:8">
      <c r="A1459">
        <v>2821</v>
      </c>
      <c r="B1459" t="s">
        <v>1453</v>
      </c>
      <c r="C1459">
        <v>80</v>
      </c>
      <c r="D1459">
        <v>1</v>
      </c>
      <c r="E1459">
        <v>80</v>
      </c>
      <c r="F1459">
        <v>1458</v>
      </c>
      <c r="G1459">
        <v>99.4</v>
      </c>
      <c r="H1459" t="s">
        <v>1014</v>
      </c>
    </row>
    <row r="1460" spans="1:8">
      <c r="A1460">
        <v>3532</v>
      </c>
      <c r="B1460" t="s">
        <v>1454</v>
      </c>
      <c r="C1460">
        <v>80</v>
      </c>
      <c r="D1460">
        <v>1</v>
      </c>
      <c r="E1460">
        <v>80</v>
      </c>
      <c r="F1460">
        <v>1459</v>
      </c>
      <c r="G1460">
        <v>99.4</v>
      </c>
      <c r="H1460" t="s">
        <v>1014</v>
      </c>
    </row>
    <row r="1461" spans="1:8">
      <c r="A1461">
        <v>3495</v>
      </c>
      <c r="B1461" t="s">
        <v>1455</v>
      </c>
      <c r="C1461">
        <v>79</v>
      </c>
      <c r="D1461">
        <v>1</v>
      </c>
      <c r="E1461">
        <v>79</v>
      </c>
      <c r="F1461">
        <v>1460</v>
      </c>
      <c r="G1461">
        <v>99.4</v>
      </c>
      <c r="H1461" t="s">
        <v>1014</v>
      </c>
    </row>
    <row r="1462" spans="1:8">
      <c r="A1462">
        <v>427</v>
      </c>
      <c r="B1462" t="s">
        <v>1456</v>
      </c>
      <c r="C1462">
        <v>39</v>
      </c>
      <c r="D1462">
        <v>2</v>
      </c>
      <c r="E1462">
        <v>78</v>
      </c>
      <c r="F1462">
        <v>1461</v>
      </c>
      <c r="G1462">
        <v>99.4</v>
      </c>
      <c r="H1462" t="s">
        <v>1014</v>
      </c>
    </row>
    <row r="1463" spans="1:8">
      <c r="A1463">
        <v>1665</v>
      </c>
      <c r="B1463" t="s">
        <v>1457</v>
      </c>
      <c r="C1463">
        <v>77</v>
      </c>
      <c r="D1463">
        <v>1</v>
      </c>
      <c r="E1463">
        <v>77</v>
      </c>
      <c r="F1463">
        <v>1462</v>
      </c>
      <c r="G1463">
        <v>99.4</v>
      </c>
      <c r="H1463" t="s">
        <v>1014</v>
      </c>
    </row>
    <row r="1464" spans="1:8">
      <c r="A1464">
        <v>3498</v>
      </c>
      <c r="B1464" t="s">
        <v>165</v>
      </c>
      <c r="C1464">
        <v>19</v>
      </c>
      <c r="D1464">
        <v>4</v>
      </c>
      <c r="E1464">
        <v>76</v>
      </c>
      <c r="F1464">
        <v>1463</v>
      </c>
      <c r="G1464">
        <v>99.4</v>
      </c>
      <c r="H1464" t="s">
        <v>1014</v>
      </c>
    </row>
    <row r="1465" spans="1:8">
      <c r="A1465">
        <v>3510</v>
      </c>
      <c r="B1465" t="s">
        <v>1458</v>
      </c>
      <c r="C1465">
        <v>19</v>
      </c>
      <c r="D1465">
        <v>4</v>
      </c>
      <c r="E1465">
        <v>76</v>
      </c>
      <c r="F1465">
        <v>1464</v>
      </c>
      <c r="G1465">
        <v>99.5</v>
      </c>
      <c r="H1465" t="s">
        <v>1014</v>
      </c>
    </row>
    <row r="1466" spans="1:8">
      <c r="A1466">
        <v>18</v>
      </c>
      <c r="B1466" t="s">
        <v>1459</v>
      </c>
      <c r="C1466">
        <v>25</v>
      </c>
      <c r="D1466">
        <v>3</v>
      </c>
      <c r="E1466">
        <v>75</v>
      </c>
      <c r="F1466">
        <v>1465</v>
      </c>
      <c r="G1466">
        <v>99.5</v>
      </c>
      <c r="H1466" t="s">
        <v>1014</v>
      </c>
    </row>
    <row r="1467" spans="1:8">
      <c r="A1467">
        <v>20</v>
      </c>
      <c r="B1467" t="s">
        <v>1460</v>
      </c>
      <c r="C1467">
        <v>25</v>
      </c>
      <c r="D1467">
        <v>3</v>
      </c>
      <c r="E1467">
        <v>75</v>
      </c>
      <c r="F1467">
        <v>1466</v>
      </c>
      <c r="G1467">
        <v>99.5</v>
      </c>
      <c r="H1467" t="s">
        <v>1014</v>
      </c>
    </row>
    <row r="1468" spans="1:8">
      <c r="A1468">
        <v>40</v>
      </c>
      <c r="B1468" t="s">
        <v>1461</v>
      </c>
      <c r="C1468">
        <v>25</v>
      </c>
      <c r="D1468">
        <v>3</v>
      </c>
      <c r="E1468">
        <v>75</v>
      </c>
      <c r="F1468">
        <v>1467</v>
      </c>
      <c r="G1468">
        <v>99.5</v>
      </c>
      <c r="H1468" t="s">
        <v>1014</v>
      </c>
    </row>
    <row r="1469" spans="1:8">
      <c r="A1469">
        <v>46</v>
      </c>
      <c r="B1469" t="s">
        <v>1462</v>
      </c>
      <c r="C1469">
        <v>25</v>
      </c>
      <c r="D1469">
        <v>3</v>
      </c>
      <c r="E1469">
        <v>75</v>
      </c>
      <c r="F1469">
        <v>1468</v>
      </c>
      <c r="G1469">
        <v>99.5</v>
      </c>
      <c r="H1469" t="s">
        <v>1014</v>
      </c>
    </row>
    <row r="1470" spans="1:8">
      <c r="A1470">
        <v>48</v>
      </c>
      <c r="B1470" t="s">
        <v>1463</v>
      </c>
      <c r="C1470">
        <v>25</v>
      </c>
      <c r="D1470">
        <v>3</v>
      </c>
      <c r="E1470">
        <v>75</v>
      </c>
      <c r="F1470">
        <v>1469</v>
      </c>
      <c r="G1470">
        <v>99.5</v>
      </c>
      <c r="H1470" t="s">
        <v>1014</v>
      </c>
    </row>
    <row r="1471" spans="1:8">
      <c r="A1471">
        <v>66</v>
      </c>
      <c r="B1471" t="s">
        <v>1464</v>
      </c>
      <c r="C1471">
        <v>25</v>
      </c>
      <c r="D1471">
        <v>3</v>
      </c>
      <c r="E1471">
        <v>75</v>
      </c>
      <c r="F1471">
        <v>1470</v>
      </c>
      <c r="G1471">
        <v>99.5</v>
      </c>
      <c r="H1471" t="s">
        <v>1014</v>
      </c>
    </row>
    <row r="1472" spans="1:8">
      <c r="A1472">
        <v>75</v>
      </c>
      <c r="B1472" t="s">
        <v>1465</v>
      </c>
      <c r="C1472">
        <v>25</v>
      </c>
      <c r="D1472">
        <v>3</v>
      </c>
      <c r="E1472">
        <v>75</v>
      </c>
      <c r="F1472">
        <v>1471</v>
      </c>
      <c r="G1472">
        <v>99.5</v>
      </c>
      <c r="H1472" t="s">
        <v>1014</v>
      </c>
    </row>
    <row r="1473" spans="1:8">
      <c r="A1473">
        <v>232</v>
      </c>
      <c r="B1473" t="s">
        <v>1466</v>
      </c>
      <c r="C1473">
        <v>15</v>
      </c>
      <c r="D1473">
        <v>5</v>
      </c>
      <c r="E1473">
        <v>75</v>
      </c>
      <c r="F1473">
        <v>1472</v>
      </c>
      <c r="G1473">
        <v>99.5</v>
      </c>
      <c r="H1473" t="s">
        <v>1014</v>
      </c>
    </row>
    <row r="1474" spans="1:8">
      <c r="A1474">
        <v>340</v>
      </c>
      <c r="B1474" t="s">
        <v>1467</v>
      </c>
      <c r="C1474">
        <v>15</v>
      </c>
      <c r="D1474">
        <v>5</v>
      </c>
      <c r="E1474">
        <v>75</v>
      </c>
      <c r="F1474">
        <v>1473</v>
      </c>
      <c r="G1474">
        <v>99.5</v>
      </c>
      <c r="H1474" t="s">
        <v>1014</v>
      </c>
    </row>
    <row r="1475" spans="1:8">
      <c r="A1475">
        <v>1546</v>
      </c>
      <c r="B1475" t="s">
        <v>1468</v>
      </c>
      <c r="C1475">
        <v>15</v>
      </c>
      <c r="D1475">
        <v>5</v>
      </c>
      <c r="E1475">
        <v>75</v>
      </c>
      <c r="F1475">
        <v>1474</v>
      </c>
      <c r="G1475">
        <v>99.5</v>
      </c>
      <c r="H1475" t="s">
        <v>1014</v>
      </c>
    </row>
    <row r="1476" spans="1:8">
      <c r="A1476">
        <v>2688</v>
      </c>
      <c r="B1476" t="s">
        <v>1469</v>
      </c>
      <c r="C1476">
        <v>15</v>
      </c>
      <c r="D1476">
        <v>5</v>
      </c>
      <c r="E1476">
        <v>75</v>
      </c>
      <c r="F1476">
        <v>1475</v>
      </c>
      <c r="G1476">
        <v>99.5</v>
      </c>
      <c r="H1476" t="s">
        <v>1014</v>
      </c>
    </row>
    <row r="1477" spans="1:8">
      <c r="A1477">
        <v>2699</v>
      </c>
      <c r="B1477" t="s">
        <v>1470</v>
      </c>
      <c r="C1477">
        <v>15</v>
      </c>
      <c r="D1477">
        <v>5</v>
      </c>
      <c r="E1477">
        <v>75</v>
      </c>
      <c r="F1477">
        <v>1476</v>
      </c>
      <c r="G1477">
        <v>99.5</v>
      </c>
      <c r="H1477" t="s">
        <v>1014</v>
      </c>
    </row>
    <row r="1478" spans="1:8">
      <c r="A1478">
        <v>11</v>
      </c>
      <c r="B1478" t="s">
        <v>1471</v>
      </c>
      <c r="C1478">
        <v>24</v>
      </c>
      <c r="D1478">
        <v>3</v>
      </c>
      <c r="E1478">
        <v>72</v>
      </c>
      <c r="F1478">
        <v>1477</v>
      </c>
      <c r="G1478">
        <v>99.5</v>
      </c>
      <c r="H1478" t="s">
        <v>1014</v>
      </c>
    </row>
    <row r="1479" spans="1:8">
      <c r="A1479">
        <v>94</v>
      </c>
      <c r="B1479" t="s">
        <v>1472</v>
      </c>
      <c r="C1479">
        <v>12</v>
      </c>
      <c r="D1479">
        <v>6</v>
      </c>
      <c r="E1479">
        <v>72</v>
      </c>
      <c r="F1479">
        <v>1478</v>
      </c>
      <c r="G1479">
        <v>99.6</v>
      </c>
      <c r="H1479" t="s">
        <v>1014</v>
      </c>
    </row>
    <row r="1480" spans="1:8">
      <c r="A1480">
        <v>1168</v>
      </c>
      <c r="B1480" t="s">
        <v>1473</v>
      </c>
      <c r="C1480">
        <v>72</v>
      </c>
      <c r="D1480">
        <v>1</v>
      </c>
      <c r="E1480">
        <v>72</v>
      </c>
      <c r="F1480">
        <v>1479</v>
      </c>
      <c r="G1480">
        <v>99.6</v>
      </c>
      <c r="H1480" t="s">
        <v>1014</v>
      </c>
    </row>
    <row r="1481" spans="1:8">
      <c r="A1481">
        <v>3608</v>
      </c>
      <c r="B1481" t="s">
        <v>1474</v>
      </c>
      <c r="C1481">
        <v>12</v>
      </c>
      <c r="D1481">
        <v>6</v>
      </c>
      <c r="E1481">
        <v>72</v>
      </c>
      <c r="F1481">
        <v>1480</v>
      </c>
      <c r="G1481">
        <v>99.6</v>
      </c>
      <c r="H1481" t="s">
        <v>1014</v>
      </c>
    </row>
    <row r="1482" spans="1:8">
      <c r="A1482">
        <v>125</v>
      </c>
      <c r="B1482" t="s">
        <v>108</v>
      </c>
      <c r="C1482">
        <v>23</v>
      </c>
      <c r="D1482">
        <v>3</v>
      </c>
      <c r="E1482">
        <v>69</v>
      </c>
      <c r="F1482">
        <v>1481</v>
      </c>
      <c r="G1482">
        <v>99.6</v>
      </c>
      <c r="H1482" t="s">
        <v>1014</v>
      </c>
    </row>
    <row r="1483" spans="1:8">
      <c r="A1483">
        <v>193</v>
      </c>
      <c r="B1483" t="s">
        <v>1475</v>
      </c>
      <c r="C1483">
        <v>69</v>
      </c>
      <c r="D1483">
        <v>1</v>
      </c>
      <c r="E1483">
        <v>69</v>
      </c>
      <c r="F1483">
        <v>1482</v>
      </c>
      <c r="G1483">
        <v>99.6</v>
      </c>
      <c r="H1483" t="s">
        <v>1014</v>
      </c>
    </row>
    <row r="1484" spans="1:8">
      <c r="A1484">
        <v>297</v>
      </c>
      <c r="B1484" t="s">
        <v>1476</v>
      </c>
      <c r="C1484">
        <v>23</v>
      </c>
      <c r="D1484">
        <v>3</v>
      </c>
      <c r="E1484">
        <v>69</v>
      </c>
      <c r="F1484">
        <v>1483</v>
      </c>
      <c r="G1484">
        <v>99.6</v>
      </c>
      <c r="H1484" t="s">
        <v>1014</v>
      </c>
    </row>
    <row r="1485" spans="1:8">
      <c r="A1485">
        <v>2637</v>
      </c>
      <c r="B1485" t="s">
        <v>1477</v>
      </c>
      <c r="C1485">
        <v>23</v>
      </c>
      <c r="D1485">
        <v>3</v>
      </c>
      <c r="E1485">
        <v>69</v>
      </c>
      <c r="F1485">
        <v>1484</v>
      </c>
      <c r="G1485">
        <v>99.6</v>
      </c>
      <c r="H1485" t="s">
        <v>1014</v>
      </c>
    </row>
    <row r="1486" spans="1:8">
      <c r="A1486">
        <v>1389</v>
      </c>
      <c r="B1486" t="s">
        <v>1478</v>
      </c>
      <c r="C1486">
        <v>34</v>
      </c>
      <c r="D1486">
        <v>2</v>
      </c>
      <c r="E1486">
        <v>68</v>
      </c>
      <c r="F1486">
        <v>1485</v>
      </c>
      <c r="G1486">
        <v>99.6</v>
      </c>
      <c r="H1486" t="s">
        <v>1014</v>
      </c>
    </row>
    <row r="1487" spans="1:8">
      <c r="A1487">
        <v>2583</v>
      </c>
      <c r="B1487" t="s">
        <v>1479</v>
      </c>
      <c r="C1487">
        <v>68</v>
      </c>
      <c r="D1487">
        <v>1</v>
      </c>
      <c r="E1487">
        <v>68</v>
      </c>
      <c r="F1487">
        <v>1486</v>
      </c>
      <c r="G1487">
        <v>99.6</v>
      </c>
      <c r="H1487" t="s">
        <v>1014</v>
      </c>
    </row>
    <row r="1488" spans="1:8">
      <c r="A1488">
        <v>3470</v>
      </c>
      <c r="B1488" t="s">
        <v>1480</v>
      </c>
      <c r="C1488">
        <v>34</v>
      </c>
      <c r="D1488">
        <v>2</v>
      </c>
      <c r="E1488">
        <v>68</v>
      </c>
      <c r="F1488">
        <v>1487</v>
      </c>
      <c r="G1488">
        <v>99.6</v>
      </c>
      <c r="H1488" t="s">
        <v>1014</v>
      </c>
    </row>
    <row r="1489" spans="1:8">
      <c r="A1489">
        <v>13</v>
      </c>
      <c r="B1489" t="s">
        <v>1481</v>
      </c>
      <c r="C1489">
        <v>22</v>
      </c>
      <c r="D1489">
        <v>3</v>
      </c>
      <c r="E1489">
        <v>66</v>
      </c>
      <c r="F1489">
        <v>1488</v>
      </c>
      <c r="G1489">
        <v>99.6</v>
      </c>
      <c r="H1489" t="s">
        <v>1014</v>
      </c>
    </row>
    <row r="1490" spans="1:8">
      <c r="A1490">
        <v>26</v>
      </c>
      <c r="B1490" t="s">
        <v>1482</v>
      </c>
      <c r="C1490">
        <v>22</v>
      </c>
      <c r="D1490">
        <v>3</v>
      </c>
      <c r="E1490">
        <v>66</v>
      </c>
      <c r="F1490">
        <v>1489</v>
      </c>
      <c r="G1490">
        <v>99.6</v>
      </c>
      <c r="H1490" t="s">
        <v>1014</v>
      </c>
    </row>
    <row r="1491" spans="1:8">
      <c r="A1491">
        <v>1419</v>
      </c>
      <c r="B1491" t="s">
        <v>1483</v>
      </c>
      <c r="C1491">
        <v>33</v>
      </c>
      <c r="D1491">
        <v>2</v>
      </c>
      <c r="E1491">
        <v>66</v>
      </c>
      <c r="F1491">
        <v>1490</v>
      </c>
      <c r="G1491">
        <v>99.6</v>
      </c>
      <c r="H1491" t="s">
        <v>1014</v>
      </c>
    </row>
    <row r="1492" spans="1:8">
      <c r="A1492">
        <v>236</v>
      </c>
      <c r="B1492" t="s">
        <v>1484</v>
      </c>
      <c r="C1492">
        <v>65</v>
      </c>
      <c r="D1492">
        <v>1</v>
      </c>
      <c r="E1492">
        <v>65</v>
      </c>
      <c r="F1492">
        <v>1491</v>
      </c>
      <c r="G1492">
        <v>99.6</v>
      </c>
      <c r="H1492" t="s">
        <v>1014</v>
      </c>
    </row>
    <row r="1493" spans="1:8">
      <c r="A1493">
        <v>1422</v>
      </c>
      <c r="B1493" t="s">
        <v>1485</v>
      </c>
      <c r="C1493">
        <v>65</v>
      </c>
      <c r="D1493">
        <v>1</v>
      </c>
      <c r="E1493">
        <v>65</v>
      </c>
      <c r="F1493">
        <v>1492</v>
      </c>
      <c r="G1493">
        <v>99.6</v>
      </c>
      <c r="H1493" t="s">
        <v>1014</v>
      </c>
    </row>
    <row r="1494" spans="1:8">
      <c r="A1494">
        <v>1</v>
      </c>
      <c r="B1494" t="s">
        <v>140</v>
      </c>
      <c r="C1494">
        <v>21</v>
      </c>
      <c r="D1494">
        <v>3</v>
      </c>
      <c r="E1494">
        <v>63</v>
      </c>
      <c r="F1494">
        <v>1493</v>
      </c>
      <c r="G1494">
        <v>99.6</v>
      </c>
      <c r="H1494" t="s">
        <v>1014</v>
      </c>
    </row>
    <row r="1495" spans="1:8">
      <c r="A1495">
        <v>31</v>
      </c>
      <c r="B1495" t="s">
        <v>1486</v>
      </c>
      <c r="C1495">
        <v>21</v>
      </c>
      <c r="D1495">
        <v>3</v>
      </c>
      <c r="E1495">
        <v>63</v>
      </c>
      <c r="F1495">
        <v>1494</v>
      </c>
      <c r="G1495">
        <v>99.7</v>
      </c>
      <c r="H1495" t="s">
        <v>1014</v>
      </c>
    </row>
    <row r="1496" spans="1:8">
      <c r="A1496">
        <v>85</v>
      </c>
      <c r="B1496" t="s">
        <v>1487</v>
      </c>
      <c r="C1496">
        <v>21</v>
      </c>
      <c r="D1496">
        <v>3</v>
      </c>
      <c r="E1496">
        <v>63</v>
      </c>
      <c r="F1496">
        <v>1495</v>
      </c>
      <c r="G1496">
        <v>99.7</v>
      </c>
      <c r="H1496" t="s">
        <v>1014</v>
      </c>
    </row>
    <row r="1497" spans="1:8">
      <c r="A1497">
        <v>2647</v>
      </c>
      <c r="B1497" t="s">
        <v>1488</v>
      </c>
      <c r="C1497">
        <v>63</v>
      </c>
      <c r="D1497">
        <v>1</v>
      </c>
      <c r="E1497">
        <v>63</v>
      </c>
      <c r="F1497">
        <v>1496</v>
      </c>
      <c r="G1497">
        <v>99.7</v>
      </c>
      <c r="H1497" t="s">
        <v>1014</v>
      </c>
    </row>
    <row r="1498" spans="1:8">
      <c r="A1498">
        <v>130</v>
      </c>
      <c r="B1498" t="s">
        <v>1489</v>
      </c>
      <c r="C1498">
        <v>15</v>
      </c>
      <c r="D1498">
        <v>4</v>
      </c>
      <c r="E1498">
        <v>60</v>
      </c>
      <c r="F1498">
        <v>1497</v>
      </c>
      <c r="G1498">
        <v>99.7</v>
      </c>
      <c r="H1498" t="s">
        <v>1014</v>
      </c>
    </row>
    <row r="1499" spans="1:8">
      <c r="A1499">
        <v>261</v>
      </c>
      <c r="B1499" t="s">
        <v>1490</v>
      </c>
      <c r="C1499">
        <v>60</v>
      </c>
      <c r="D1499">
        <v>1</v>
      </c>
      <c r="E1499">
        <v>60</v>
      </c>
      <c r="F1499">
        <v>1498</v>
      </c>
      <c r="G1499">
        <v>99.7</v>
      </c>
      <c r="H1499" t="s">
        <v>1014</v>
      </c>
    </row>
    <row r="1500" spans="1:8">
      <c r="A1500">
        <v>267</v>
      </c>
      <c r="B1500" t="s">
        <v>1491</v>
      </c>
      <c r="C1500">
        <v>10</v>
      </c>
      <c r="D1500">
        <v>6</v>
      </c>
      <c r="E1500">
        <v>60</v>
      </c>
      <c r="F1500">
        <v>1499</v>
      </c>
      <c r="G1500">
        <v>99.7</v>
      </c>
      <c r="H1500" t="s">
        <v>1014</v>
      </c>
    </row>
    <row r="1501" spans="1:8">
      <c r="A1501">
        <v>1138</v>
      </c>
      <c r="B1501" t="s">
        <v>120</v>
      </c>
      <c r="C1501">
        <v>15</v>
      </c>
      <c r="D1501">
        <v>4</v>
      </c>
      <c r="E1501">
        <v>60</v>
      </c>
      <c r="F1501">
        <v>1500</v>
      </c>
      <c r="G1501">
        <v>99.7</v>
      </c>
      <c r="H1501" t="s">
        <v>1014</v>
      </c>
    </row>
    <row r="1502" spans="1:8">
      <c r="A1502">
        <v>2607</v>
      </c>
      <c r="B1502" t="s">
        <v>90</v>
      </c>
      <c r="C1502">
        <v>10</v>
      </c>
      <c r="D1502">
        <v>6</v>
      </c>
      <c r="E1502">
        <v>60</v>
      </c>
      <c r="F1502">
        <v>1501</v>
      </c>
      <c r="G1502">
        <v>99.7</v>
      </c>
      <c r="H1502" t="s">
        <v>1014</v>
      </c>
    </row>
    <row r="1503" spans="1:8">
      <c r="A1503">
        <v>2618</v>
      </c>
      <c r="B1503" t="s">
        <v>1492</v>
      </c>
      <c r="C1503">
        <v>20</v>
      </c>
      <c r="D1503">
        <v>3</v>
      </c>
      <c r="E1503">
        <v>60</v>
      </c>
      <c r="F1503">
        <v>1502</v>
      </c>
      <c r="G1503">
        <v>99.7</v>
      </c>
      <c r="H1503" t="s">
        <v>1014</v>
      </c>
    </row>
    <row r="1504" spans="1:8">
      <c r="A1504">
        <v>2701</v>
      </c>
      <c r="B1504" t="s">
        <v>110</v>
      </c>
      <c r="C1504">
        <v>60</v>
      </c>
      <c r="D1504">
        <v>1</v>
      </c>
      <c r="E1504">
        <v>60</v>
      </c>
      <c r="F1504">
        <v>1503</v>
      </c>
      <c r="G1504">
        <v>99.7</v>
      </c>
      <c r="H1504" t="s">
        <v>1014</v>
      </c>
    </row>
    <row r="1505" spans="1:8">
      <c r="A1505">
        <v>2774</v>
      </c>
      <c r="B1505" t="s">
        <v>1493</v>
      </c>
      <c r="C1505">
        <v>10</v>
      </c>
      <c r="D1505">
        <v>6</v>
      </c>
      <c r="E1505">
        <v>60</v>
      </c>
      <c r="F1505">
        <v>1504</v>
      </c>
      <c r="G1505">
        <v>99.7</v>
      </c>
      <c r="H1505" t="s">
        <v>1014</v>
      </c>
    </row>
    <row r="1506" spans="1:8">
      <c r="A1506">
        <v>2939</v>
      </c>
      <c r="B1506" t="s">
        <v>1494</v>
      </c>
      <c r="C1506">
        <v>30</v>
      </c>
      <c r="D1506">
        <v>2</v>
      </c>
      <c r="E1506">
        <v>60</v>
      </c>
      <c r="F1506">
        <v>1505</v>
      </c>
      <c r="G1506">
        <v>99.7</v>
      </c>
      <c r="H1506" t="s">
        <v>1014</v>
      </c>
    </row>
    <row r="1507" spans="1:8">
      <c r="A1507">
        <v>3012</v>
      </c>
      <c r="B1507" t="s">
        <v>1495</v>
      </c>
      <c r="C1507">
        <v>20</v>
      </c>
      <c r="D1507">
        <v>3</v>
      </c>
      <c r="E1507">
        <v>60</v>
      </c>
      <c r="F1507">
        <v>1506</v>
      </c>
      <c r="G1507">
        <v>99.7</v>
      </c>
      <c r="H1507" t="s">
        <v>1014</v>
      </c>
    </row>
    <row r="1508" spans="1:8">
      <c r="A1508">
        <v>9</v>
      </c>
      <c r="B1508" t="s">
        <v>1496</v>
      </c>
      <c r="C1508">
        <v>19</v>
      </c>
      <c r="D1508">
        <v>3</v>
      </c>
      <c r="E1508">
        <v>57</v>
      </c>
      <c r="F1508">
        <v>1507</v>
      </c>
      <c r="G1508">
        <v>99.7</v>
      </c>
      <c r="H1508" t="s">
        <v>1014</v>
      </c>
    </row>
    <row r="1509" spans="1:8">
      <c r="A1509">
        <v>49</v>
      </c>
      <c r="B1509" t="s">
        <v>1497</v>
      </c>
      <c r="C1509">
        <v>19</v>
      </c>
      <c r="D1509">
        <v>3</v>
      </c>
      <c r="E1509">
        <v>57</v>
      </c>
      <c r="F1509">
        <v>1508</v>
      </c>
      <c r="G1509">
        <v>99.7</v>
      </c>
      <c r="H1509" t="s">
        <v>1014</v>
      </c>
    </row>
    <row r="1510" spans="1:8">
      <c r="A1510">
        <v>2684</v>
      </c>
      <c r="B1510" t="s">
        <v>1498</v>
      </c>
      <c r="C1510">
        <v>56</v>
      </c>
      <c r="D1510">
        <v>1</v>
      </c>
      <c r="E1510">
        <v>56</v>
      </c>
      <c r="F1510">
        <v>1509</v>
      </c>
      <c r="G1510">
        <v>99.7</v>
      </c>
      <c r="H1510" t="s">
        <v>1014</v>
      </c>
    </row>
    <row r="1511" spans="1:8">
      <c r="A1511">
        <v>1619</v>
      </c>
      <c r="B1511" t="s">
        <v>142</v>
      </c>
      <c r="C1511">
        <v>55</v>
      </c>
      <c r="D1511">
        <v>1</v>
      </c>
      <c r="E1511">
        <v>55</v>
      </c>
      <c r="F1511">
        <v>1510</v>
      </c>
      <c r="G1511">
        <v>99.7</v>
      </c>
      <c r="H1511" t="s">
        <v>1014</v>
      </c>
    </row>
    <row r="1512" spans="1:8">
      <c r="A1512">
        <v>3509</v>
      </c>
      <c r="B1512" t="s">
        <v>1499</v>
      </c>
      <c r="C1512">
        <v>55</v>
      </c>
      <c r="D1512">
        <v>1</v>
      </c>
      <c r="E1512">
        <v>55</v>
      </c>
      <c r="F1512">
        <v>1511</v>
      </c>
      <c r="G1512">
        <v>99.7</v>
      </c>
      <c r="H1512" t="s">
        <v>1014</v>
      </c>
    </row>
    <row r="1513" spans="1:8">
      <c r="A1513">
        <v>3542</v>
      </c>
      <c r="B1513" t="s">
        <v>1500</v>
      </c>
      <c r="C1513">
        <v>55</v>
      </c>
      <c r="D1513">
        <v>1</v>
      </c>
      <c r="E1513">
        <v>55</v>
      </c>
      <c r="F1513">
        <v>1512</v>
      </c>
      <c r="G1513">
        <v>99.8</v>
      </c>
      <c r="H1513" t="s">
        <v>1014</v>
      </c>
    </row>
    <row r="1514" spans="1:8">
      <c r="A1514">
        <v>220</v>
      </c>
      <c r="B1514" t="s">
        <v>1501</v>
      </c>
      <c r="C1514">
        <v>54</v>
      </c>
      <c r="D1514">
        <v>1</v>
      </c>
      <c r="E1514">
        <v>54</v>
      </c>
      <c r="F1514">
        <v>1513</v>
      </c>
      <c r="G1514">
        <v>99.8</v>
      </c>
      <c r="H1514" t="s">
        <v>1014</v>
      </c>
    </row>
    <row r="1515" spans="1:8">
      <c r="A1515">
        <v>1506</v>
      </c>
      <c r="B1515" t="s">
        <v>1502</v>
      </c>
      <c r="C1515">
        <v>53</v>
      </c>
      <c r="D1515">
        <v>1</v>
      </c>
      <c r="E1515">
        <v>53</v>
      </c>
      <c r="F1515">
        <v>1514</v>
      </c>
      <c r="G1515">
        <v>99.8</v>
      </c>
      <c r="H1515" t="s">
        <v>1014</v>
      </c>
    </row>
    <row r="1516" spans="1:8">
      <c r="A1516">
        <v>4</v>
      </c>
      <c r="B1516" t="s">
        <v>1503</v>
      </c>
      <c r="C1516">
        <v>17</v>
      </c>
      <c r="D1516">
        <v>3</v>
      </c>
      <c r="E1516">
        <v>51</v>
      </c>
      <c r="F1516">
        <v>1515</v>
      </c>
      <c r="G1516">
        <v>99.8</v>
      </c>
      <c r="H1516" t="s">
        <v>1014</v>
      </c>
    </row>
    <row r="1517" spans="1:8">
      <c r="A1517">
        <v>64</v>
      </c>
      <c r="B1517" t="s">
        <v>1504</v>
      </c>
      <c r="C1517">
        <v>17</v>
      </c>
      <c r="D1517">
        <v>3</v>
      </c>
      <c r="E1517">
        <v>51</v>
      </c>
      <c r="F1517">
        <v>1516</v>
      </c>
      <c r="G1517">
        <v>99.8</v>
      </c>
      <c r="H1517" t="s">
        <v>1014</v>
      </c>
    </row>
    <row r="1518" spans="1:8">
      <c r="A1518">
        <v>71</v>
      </c>
      <c r="B1518" t="s">
        <v>1505</v>
      </c>
      <c r="C1518">
        <v>17</v>
      </c>
      <c r="D1518">
        <v>3</v>
      </c>
      <c r="E1518">
        <v>51</v>
      </c>
      <c r="F1518">
        <v>1517</v>
      </c>
      <c r="G1518">
        <v>99.8</v>
      </c>
      <c r="H1518" t="s">
        <v>1014</v>
      </c>
    </row>
    <row r="1519" spans="1:8">
      <c r="A1519">
        <v>81</v>
      </c>
      <c r="B1519" t="s">
        <v>1506</v>
      </c>
      <c r="C1519">
        <v>17</v>
      </c>
      <c r="D1519">
        <v>3</v>
      </c>
      <c r="E1519">
        <v>51</v>
      </c>
      <c r="F1519">
        <v>1518</v>
      </c>
      <c r="G1519">
        <v>99.8</v>
      </c>
      <c r="H1519" t="s">
        <v>1014</v>
      </c>
    </row>
    <row r="1520" spans="1:8">
      <c r="A1520">
        <v>1141</v>
      </c>
      <c r="B1520" t="s">
        <v>1507</v>
      </c>
      <c r="C1520">
        <v>17</v>
      </c>
      <c r="D1520">
        <v>3</v>
      </c>
      <c r="E1520">
        <v>51</v>
      </c>
      <c r="F1520">
        <v>1519</v>
      </c>
      <c r="G1520">
        <v>99.8</v>
      </c>
      <c r="H1520" t="s">
        <v>1014</v>
      </c>
    </row>
    <row r="1521" spans="1:8">
      <c r="A1521">
        <v>1569</v>
      </c>
      <c r="B1521" t="s">
        <v>1508</v>
      </c>
      <c r="C1521">
        <v>51</v>
      </c>
      <c r="D1521">
        <v>1</v>
      </c>
      <c r="E1521">
        <v>51</v>
      </c>
      <c r="F1521">
        <v>1520</v>
      </c>
      <c r="G1521">
        <v>99.8</v>
      </c>
      <c r="H1521" t="s">
        <v>1014</v>
      </c>
    </row>
    <row r="1522" spans="1:8">
      <c r="A1522">
        <v>362</v>
      </c>
      <c r="B1522" t="s">
        <v>1509</v>
      </c>
      <c r="C1522">
        <v>10</v>
      </c>
      <c r="D1522">
        <v>5</v>
      </c>
      <c r="E1522">
        <v>50</v>
      </c>
      <c r="F1522">
        <v>1521</v>
      </c>
      <c r="G1522">
        <v>99.8</v>
      </c>
      <c r="H1522" t="s">
        <v>1014</v>
      </c>
    </row>
    <row r="1523" spans="1:8">
      <c r="A1523">
        <v>1463</v>
      </c>
      <c r="B1523" t="s">
        <v>1510</v>
      </c>
      <c r="C1523">
        <v>50</v>
      </c>
      <c r="D1523">
        <v>1</v>
      </c>
      <c r="E1523">
        <v>50</v>
      </c>
      <c r="F1523">
        <v>1522</v>
      </c>
      <c r="G1523">
        <v>99.8</v>
      </c>
      <c r="H1523" t="s">
        <v>1014</v>
      </c>
    </row>
    <row r="1524" spans="1:8">
      <c r="A1524">
        <v>3603</v>
      </c>
      <c r="B1524" t="s">
        <v>1511</v>
      </c>
      <c r="C1524">
        <v>50</v>
      </c>
      <c r="D1524">
        <v>1</v>
      </c>
      <c r="E1524">
        <v>50</v>
      </c>
      <c r="F1524">
        <v>1523</v>
      </c>
      <c r="G1524">
        <v>99.8</v>
      </c>
      <c r="H1524" t="s">
        <v>1014</v>
      </c>
    </row>
    <row r="1525" spans="1:8">
      <c r="A1525">
        <v>2781</v>
      </c>
      <c r="B1525" t="s">
        <v>143</v>
      </c>
      <c r="C1525">
        <v>49</v>
      </c>
      <c r="D1525">
        <v>1</v>
      </c>
      <c r="E1525">
        <v>49</v>
      </c>
      <c r="F1525">
        <v>1524</v>
      </c>
      <c r="G1525">
        <v>99.8</v>
      </c>
      <c r="H1525" t="s">
        <v>1014</v>
      </c>
    </row>
    <row r="1526" spans="1:8">
      <c r="A1526">
        <v>10</v>
      </c>
      <c r="B1526" t="s">
        <v>1512</v>
      </c>
      <c r="C1526">
        <v>16</v>
      </c>
      <c r="D1526">
        <v>3</v>
      </c>
      <c r="E1526">
        <v>48</v>
      </c>
      <c r="F1526">
        <v>1525</v>
      </c>
      <c r="G1526">
        <v>99.8</v>
      </c>
      <c r="H1526" t="s">
        <v>1014</v>
      </c>
    </row>
    <row r="1527" spans="1:8">
      <c r="A1527">
        <v>15</v>
      </c>
      <c r="B1527" t="s">
        <v>1513</v>
      </c>
      <c r="C1527">
        <v>16</v>
      </c>
      <c r="D1527">
        <v>3</v>
      </c>
      <c r="E1527">
        <v>48</v>
      </c>
      <c r="F1527">
        <v>1526</v>
      </c>
      <c r="G1527">
        <v>99.8</v>
      </c>
      <c r="H1527" t="s">
        <v>1014</v>
      </c>
    </row>
    <row r="1528" spans="1:8">
      <c r="A1528">
        <v>30</v>
      </c>
      <c r="B1528" t="s">
        <v>1514</v>
      </c>
      <c r="C1528">
        <v>16</v>
      </c>
      <c r="D1528">
        <v>3</v>
      </c>
      <c r="E1528">
        <v>48</v>
      </c>
      <c r="F1528">
        <v>1527</v>
      </c>
      <c r="G1528">
        <v>99.8</v>
      </c>
      <c r="H1528" t="s">
        <v>1014</v>
      </c>
    </row>
    <row r="1529" spans="1:8">
      <c r="A1529">
        <v>41</v>
      </c>
      <c r="B1529" t="s">
        <v>1515</v>
      </c>
      <c r="C1529">
        <v>16</v>
      </c>
      <c r="D1529">
        <v>3</v>
      </c>
      <c r="E1529">
        <v>48</v>
      </c>
      <c r="F1529">
        <v>1528</v>
      </c>
      <c r="G1529">
        <v>99.8</v>
      </c>
      <c r="H1529" t="s">
        <v>1014</v>
      </c>
    </row>
    <row r="1530" spans="1:8">
      <c r="A1530">
        <v>3570</v>
      </c>
      <c r="B1530" t="s">
        <v>1516</v>
      </c>
      <c r="C1530">
        <v>12</v>
      </c>
      <c r="D1530">
        <v>4</v>
      </c>
      <c r="E1530">
        <v>48</v>
      </c>
      <c r="F1530">
        <v>1529</v>
      </c>
      <c r="G1530">
        <v>99.8</v>
      </c>
      <c r="H1530" t="s">
        <v>1014</v>
      </c>
    </row>
    <row r="1531" spans="1:8">
      <c r="A1531">
        <v>34</v>
      </c>
      <c r="B1531" t="s">
        <v>1517</v>
      </c>
      <c r="C1531">
        <v>15</v>
      </c>
      <c r="D1531">
        <v>3</v>
      </c>
      <c r="E1531">
        <v>45</v>
      </c>
      <c r="F1531">
        <v>1530</v>
      </c>
      <c r="G1531">
        <v>99.8</v>
      </c>
      <c r="H1531" t="s">
        <v>1014</v>
      </c>
    </row>
    <row r="1532" spans="1:8">
      <c r="A1532">
        <v>35</v>
      </c>
      <c r="B1532" t="s">
        <v>1518</v>
      </c>
      <c r="C1532">
        <v>15</v>
      </c>
      <c r="D1532">
        <v>3</v>
      </c>
      <c r="E1532">
        <v>45</v>
      </c>
      <c r="F1532">
        <v>1531</v>
      </c>
      <c r="G1532">
        <v>99.8</v>
      </c>
      <c r="H1532" t="s">
        <v>1014</v>
      </c>
    </row>
    <row r="1533" spans="1:8">
      <c r="A1533">
        <v>37</v>
      </c>
      <c r="B1533" t="s">
        <v>1519</v>
      </c>
      <c r="C1533">
        <v>15</v>
      </c>
      <c r="D1533">
        <v>3</v>
      </c>
      <c r="E1533">
        <v>45</v>
      </c>
      <c r="F1533">
        <v>1532</v>
      </c>
      <c r="G1533">
        <v>99.8</v>
      </c>
      <c r="H1533" t="s">
        <v>1014</v>
      </c>
    </row>
    <row r="1534" spans="1:8">
      <c r="A1534">
        <v>86</v>
      </c>
      <c r="B1534" t="s">
        <v>167</v>
      </c>
      <c r="C1534">
        <v>15</v>
      </c>
      <c r="D1534">
        <v>3</v>
      </c>
      <c r="E1534">
        <v>45</v>
      </c>
      <c r="F1534">
        <v>1533</v>
      </c>
      <c r="G1534">
        <v>99.9</v>
      </c>
      <c r="H1534" t="s">
        <v>1014</v>
      </c>
    </row>
    <row r="1535" spans="1:8">
      <c r="A1535">
        <v>124</v>
      </c>
      <c r="B1535" t="s">
        <v>1520</v>
      </c>
      <c r="C1535">
        <v>15</v>
      </c>
      <c r="D1535">
        <v>3</v>
      </c>
      <c r="E1535">
        <v>45</v>
      </c>
      <c r="F1535">
        <v>1534</v>
      </c>
      <c r="G1535">
        <v>99.9</v>
      </c>
      <c r="H1535" t="s">
        <v>1014</v>
      </c>
    </row>
    <row r="1536" spans="1:8">
      <c r="A1536">
        <v>1526</v>
      </c>
      <c r="B1536" t="s">
        <v>1521</v>
      </c>
      <c r="C1536">
        <v>15</v>
      </c>
      <c r="D1536">
        <v>3</v>
      </c>
      <c r="E1536">
        <v>45</v>
      </c>
      <c r="F1536">
        <v>1535</v>
      </c>
      <c r="G1536">
        <v>99.9</v>
      </c>
      <c r="H1536" t="s">
        <v>1014</v>
      </c>
    </row>
    <row r="1537" spans="1:8">
      <c r="A1537">
        <v>1531</v>
      </c>
      <c r="B1537" t="s">
        <v>1522</v>
      </c>
      <c r="C1537">
        <v>15</v>
      </c>
      <c r="D1537">
        <v>3</v>
      </c>
      <c r="E1537">
        <v>45</v>
      </c>
      <c r="F1537">
        <v>1536</v>
      </c>
      <c r="G1537">
        <v>99.9</v>
      </c>
      <c r="H1537" t="s">
        <v>1014</v>
      </c>
    </row>
    <row r="1538" spans="1:8">
      <c r="A1538">
        <v>1642</v>
      </c>
      <c r="B1538" t="s">
        <v>1523</v>
      </c>
      <c r="C1538">
        <v>15</v>
      </c>
      <c r="D1538">
        <v>3</v>
      </c>
      <c r="E1538">
        <v>45</v>
      </c>
      <c r="F1538">
        <v>1537</v>
      </c>
      <c r="G1538">
        <v>99.9</v>
      </c>
      <c r="H1538" t="s">
        <v>1014</v>
      </c>
    </row>
    <row r="1539" spans="1:8">
      <c r="A1539">
        <v>2610</v>
      </c>
      <c r="B1539" t="s">
        <v>1524</v>
      </c>
      <c r="C1539">
        <v>45</v>
      </c>
      <c r="D1539">
        <v>1</v>
      </c>
      <c r="E1539">
        <v>45</v>
      </c>
      <c r="F1539">
        <v>1538</v>
      </c>
      <c r="G1539">
        <v>99.9</v>
      </c>
      <c r="H1539" t="s">
        <v>1014</v>
      </c>
    </row>
    <row r="1540" spans="1:8">
      <c r="A1540">
        <v>1426</v>
      </c>
      <c r="B1540" t="s">
        <v>1525</v>
      </c>
      <c r="C1540">
        <v>44</v>
      </c>
      <c r="D1540">
        <v>1</v>
      </c>
      <c r="E1540">
        <v>44</v>
      </c>
      <c r="F1540">
        <v>1539</v>
      </c>
      <c r="G1540">
        <v>99.9</v>
      </c>
      <c r="H1540" t="s">
        <v>1014</v>
      </c>
    </row>
    <row r="1541" spans="1:8">
      <c r="A1541">
        <v>2612</v>
      </c>
      <c r="B1541" t="s">
        <v>98</v>
      </c>
      <c r="C1541">
        <v>44</v>
      </c>
      <c r="D1541">
        <v>1</v>
      </c>
      <c r="E1541">
        <v>44</v>
      </c>
      <c r="F1541">
        <v>1540</v>
      </c>
      <c r="G1541">
        <v>99.9</v>
      </c>
      <c r="H1541" t="s">
        <v>1014</v>
      </c>
    </row>
    <row r="1542" spans="1:8">
      <c r="A1542">
        <v>2620</v>
      </c>
      <c r="B1542" t="s">
        <v>1526</v>
      </c>
      <c r="C1542">
        <v>22</v>
      </c>
      <c r="D1542">
        <v>2</v>
      </c>
      <c r="E1542">
        <v>44</v>
      </c>
      <c r="F1542">
        <v>1541</v>
      </c>
      <c r="G1542">
        <v>99.9</v>
      </c>
      <c r="H1542" t="s">
        <v>1014</v>
      </c>
    </row>
    <row r="1543" spans="1:8">
      <c r="A1543">
        <v>65</v>
      </c>
      <c r="B1543" t="s">
        <v>1527</v>
      </c>
      <c r="C1543">
        <v>14</v>
      </c>
      <c r="D1543">
        <v>3</v>
      </c>
      <c r="E1543">
        <v>42</v>
      </c>
      <c r="F1543">
        <v>1542</v>
      </c>
      <c r="G1543">
        <v>99.9</v>
      </c>
      <c r="H1543" t="s">
        <v>1014</v>
      </c>
    </row>
    <row r="1544" spans="1:8">
      <c r="A1544">
        <v>80</v>
      </c>
      <c r="B1544" t="s">
        <v>1528</v>
      </c>
      <c r="C1544">
        <v>21</v>
      </c>
      <c r="D1544">
        <v>2</v>
      </c>
      <c r="E1544">
        <v>42</v>
      </c>
      <c r="F1544">
        <v>1543</v>
      </c>
      <c r="G1544">
        <v>99.9</v>
      </c>
      <c r="H1544" t="s">
        <v>1014</v>
      </c>
    </row>
    <row r="1545" spans="1:8">
      <c r="A1545">
        <v>213</v>
      </c>
      <c r="B1545" t="s">
        <v>1529</v>
      </c>
      <c r="C1545">
        <v>20</v>
      </c>
      <c r="D1545">
        <v>2</v>
      </c>
      <c r="E1545">
        <v>40</v>
      </c>
      <c r="F1545">
        <v>1544</v>
      </c>
      <c r="G1545">
        <v>99.9</v>
      </c>
      <c r="H1545" t="s">
        <v>1014</v>
      </c>
    </row>
    <row r="1546" spans="1:8">
      <c r="A1546">
        <v>265</v>
      </c>
      <c r="B1546" t="s">
        <v>1530</v>
      </c>
      <c r="C1546">
        <v>20</v>
      </c>
      <c r="D1546">
        <v>2</v>
      </c>
      <c r="E1546">
        <v>40</v>
      </c>
      <c r="F1546">
        <v>1545</v>
      </c>
      <c r="G1546">
        <v>99.9</v>
      </c>
      <c r="H1546" t="s">
        <v>1014</v>
      </c>
    </row>
    <row r="1547" spans="1:8">
      <c r="A1547">
        <v>1165</v>
      </c>
      <c r="B1547" t="s">
        <v>1531</v>
      </c>
      <c r="C1547">
        <v>40</v>
      </c>
      <c r="D1547">
        <v>1</v>
      </c>
      <c r="E1547">
        <v>40</v>
      </c>
      <c r="F1547">
        <v>1546</v>
      </c>
      <c r="G1547">
        <v>99.9</v>
      </c>
      <c r="H1547" t="s">
        <v>1014</v>
      </c>
    </row>
    <row r="1548" spans="1:8">
      <c r="A1548">
        <v>17</v>
      </c>
      <c r="B1548" t="s">
        <v>1532</v>
      </c>
      <c r="C1548">
        <v>13</v>
      </c>
      <c r="D1548">
        <v>3</v>
      </c>
      <c r="E1548">
        <v>39</v>
      </c>
      <c r="F1548">
        <v>1547</v>
      </c>
      <c r="G1548">
        <v>99.9</v>
      </c>
      <c r="H1548" t="s">
        <v>1014</v>
      </c>
    </row>
    <row r="1549" spans="1:8">
      <c r="A1549">
        <v>84</v>
      </c>
      <c r="B1549" t="s">
        <v>162</v>
      </c>
      <c r="C1549">
        <v>13</v>
      </c>
      <c r="D1549">
        <v>3</v>
      </c>
      <c r="E1549">
        <v>39</v>
      </c>
      <c r="F1549">
        <v>1548</v>
      </c>
      <c r="G1549">
        <v>99.9</v>
      </c>
      <c r="H1549" t="s">
        <v>1014</v>
      </c>
    </row>
    <row r="1550" spans="1:8">
      <c r="A1550">
        <v>87</v>
      </c>
      <c r="B1550" t="s">
        <v>1533</v>
      </c>
      <c r="C1550">
        <v>13</v>
      </c>
      <c r="D1550">
        <v>3</v>
      </c>
      <c r="E1550">
        <v>39</v>
      </c>
      <c r="F1550">
        <v>1549</v>
      </c>
      <c r="G1550">
        <v>99.9</v>
      </c>
      <c r="H1550" t="s">
        <v>1014</v>
      </c>
    </row>
    <row r="1551" spans="1:8">
      <c r="A1551">
        <v>3469</v>
      </c>
      <c r="B1551" t="s">
        <v>1534</v>
      </c>
      <c r="C1551">
        <v>39</v>
      </c>
      <c r="D1551">
        <v>1</v>
      </c>
      <c r="E1551">
        <v>39</v>
      </c>
      <c r="F1551">
        <v>1550</v>
      </c>
      <c r="G1551">
        <v>99.9</v>
      </c>
      <c r="H1551" t="s">
        <v>1014</v>
      </c>
    </row>
    <row r="1552" spans="1:8">
      <c r="A1552">
        <v>161</v>
      </c>
      <c r="B1552" t="s">
        <v>128</v>
      </c>
      <c r="C1552">
        <v>38</v>
      </c>
      <c r="D1552">
        <v>1</v>
      </c>
      <c r="E1552">
        <v>38</v>
      </c>
      <c r="F1552">
        <v>1551</v>
      </c>
      <c r="G1552">
        <v>99.9</v>
      </c>
      <c r="H1552" t="s">
        <v>1014</v>
      </c>
    </row>
    <row r="1553" spans="1:8">
      <c r="A1553">
        <v>258</v>
      </c>
      <c r="B1553" t="s">
        <v>1535</v>
      </c>
      <c r="C1553">
        <v>38</v>
      </c>
      <c r="D1553">
        <v>1</v>
      </c>
      <c r="E1553">
        <v>38</v>
      </c>
      <c r="F1553">
        <v>1552</v>
      </c>
      <c r="G1553">
        <v>99.9</v>
      </c>
      <c r="H1553" t="s">
        <v>1014</v>
      </c>
    </row>
    <row r="1554" spans="1:8">
      <c r="A1554">
        <v>5</v>
      </c>
      <c r="B1554" t="s">
        <v>1536</v>
      </c>
      <c r="C1554">
        <v>12</v>
      </c>
      <c r="D1554">
        <v>3</v>
      </c>
      <c r="E1554">
        <v>36</v>
      </c>
      <c r="F1554">
        <v>1553</v>
      </c>
      <c r="G1554">
        <v>99.9</v>
      </c>
      <c r="H1554" t="s">
        <v>1014</v>
      </c>
    </row>
    <row r="1555" spans="1:8">
      <c r="A1555">
        <v>14</v>
      </c>
      <c r="B1555" t="s">
        <v>1537</v>
      </c>
      <c r="C1555">
        <v>12</v>
      </c>
      <c r="D1555">
        <v>3</v>
      </c>
      <c r="E1555">
        <v>36</v>
      </c>
      <c r="F1555">
        <v>1554</v>
      </c>
      <c r="G1555">
        <v>99.9</v>
      </c>
      <c r="H1555" t="s">
        <v>1014</v>
      </c>
    </row>
    <row r="1556" spans="1:8">
      <c r="A1556">
        <v>2641</v>
      </c>
      <c r="B1556" t="s">
        <v>1381</v>
      </c>
      <c r="C1556">
        <v>18</v>
      </c>
      <c r="D1556">
        <v>2</v>
      </c>
      <c r="E1556">
        <v>36</v>
      </c>
      <c r="F1556">
        <v>1555</v>
      </c>
      <c r="G1556">
        <v>99.9</v>
      </c>
      <c r="H1556" t="s">
        <v>1014</v>
      </c>
    </row>
    <row r="1557" spans="1:8">
      <c r="A1557">
        <v>221</v>
      </c>
      <c r="B1557" t="s">
        <v>1538</v>
      </c>
      <c r="C1557">
        <v>34</v>
      </c>
      <c r="D1557">
        <v>1</v>
      </c>
      <c r="E1557">
        <v>34</v>
      </c>
      <c r="F1557">
        <v>1556</v>
      </c>
      <c r="G1557">
        <v>99.9</v>
      </c>
      <c r="H1557" t="s">
        <v>1014</v>
      </c>
    </row>
    <row r="1558" spans="1:8">
      <c r="A1558">
        <v>372</v>
      </c>
      <c r="B1558" t="s">
        <v>1539</v>
      </c>
      <c r="C1558">
        <v>34</v>
      </c>
      <c r="D1558">
        <v>1</v>
      </c>
      <c r="E1558">
        <v>34</v>
      </c>
      <c r="F1558">
        <v>1557</v>
      </c>
      <c r="G1558">
        <v>99.9</v>
      </c>
      <c r="H1558" t="s">
        <v>1014</v>
      </c>
    </row>
    <row r="1559" spans="1:8">
      <c r="A1559">
        <v>29</v>
      </c>
      <c r="B1559" t="s">
        <v>1540</v>
      </c>
      <c r="C1559">
        <v>11</v>
      </c>
      <c r="D1559">
        <v>3</v>
      </c>
      <c r="E1559">
        <v>33</v>
      </c>
      <c r="F1559">
        <v>1558</v>
      </c>
      <c r="G1559">
        <v>99.9</v>
      </c>
      <c r="H1559" t="s">
        <v>1014</v>
      </c>
    </row>
    <row r="1560" spans="1:8">
      <c r="A1560">
        <v>271</v>
      </c>
      <c r="B1560" t="s">
        <v>1541</v>
      </c>
      <c r="C1560">
        <v>32</v>
      </c>
      <c r="D1560">
        <v>1</v>
      </c>
      <c r="E1560">
        <v>32</v>
      </c>
      <c r="F1560">
        <v>1559</v>
      </c>
      <c r="G1560">
        <v>99.9</v>
      </c>
      <c r="H1560" t="s">
        <v>1014</v>
      </c>
    </row>
    <row r="1561" spans="1:8">
      <c r="A1561">
        <v>1144</v>
      </c>
      <c r="B1561" t="s">
        <v>1542</v>
      </c>
      <c r="C1561">
        <v>30</v>
      </c>
      <c r="D1561">
        <v>1</v>
      </c>
      <c r="E1561">
        <v>30</v>
      </c>
      <c r="F1561">
        <v>1560</v>
      </c>
      <c r="G1561">
        <v>100</v>
      </c>
      <c r="H1561" t="s">
        <v>1014</v>
      </c>
    </row>
    <row r="1562" spans="1:8">
      <c r="A1562">
        <v>1155</v>
      </c>
      <c r="B1562" t="s">
        <v>1543</v>
      </c>
      <c r="C1562">
        <v>30</v>
      </c>
      <c r="D1562">
        <v>1</v>
      </c>
      <c r="E1562">
        <v>30</v>
      </c>
      <c r="F1562">
        <v>1561</v>
      </c>
      <c r="G1562">
        <v>100</v>
      </c>
      <c r="H1562" t="s">
        <v>1014</v>
      </c>
    </row>
    <row r="1563" spans="1:8">
      <c r="A1563">
        <v>1500</v>
      </c>
      <c r="B1563" t="s">
        <v>1544</v>
      </c>
      <c r="C1563">
        <v>10</v>
      </c>
      <c r="D1563">
        <v>3</v>
      </c>
      <c r="E1563">
        <v>30</v>
      </c>
      <c r="F1563">
        <v>1562</v>
      </c>
      <c r="G1563">
        <v>100</v>
      </c>
      <c r="H1563" t="s">
        <v>1014</v>
      </c>
    </row>
    <row r="1564" spans="1:8">
      <c r="A1564">
        <v>2623</v>
      </c>
      <c r="B1564" t="s">
        <v>1545</v>
      </c>
      <c r="C1564">
        <v>15</v>
      </c>
      <c r="D1564">
        <v>2</v>
      </c>
      <c r="E1564">
        <v>30</v>
      </c>
      <c r="F1564">
        <v>1563</v>
      </c>
      <c r="G1564">
        <v>100</v>
      </c>
      <c r="H1564" t="s">
        <v>1014</v>
      </c>
    </row>
    <row r="1565" spans="1:8">
      <c r="A1565">
        <v>2666</v>
      </c>
      <c r="B1565" t="s">
        <v>110</v>
      </c>
      <c r="C1565">
        <v>30</v>
      </c>
      <c r="D1565">
        <v>1</v>
      </c>
      <c r="E1565">
        <v>30</v>
      </c>
      <c r="F1565">
        <v>1564</v>
      </c>
      <c r="G1565">
        <v>100</v>
      </c>
      <c r="H1565" t="s">
        <v>1014</v>
      </c>
    </row>
    <row r="1566" spans="1:8">
      <c r="A1566">
        <v>2636</v>
      </c>
      <c r="B1566" t="s">
        <v>1546</v>
      </c>
      <c r="C1566">
        <v>29</v>
      </c>
      <c r="D1566">
        <v>1</v>
      </c>
      <c r="E1566">
        <v>29</v>
      </c>
      <c r="F1566">
        <v>1565</v>
      </c>
      <c r="G1566">
        <v>100</v>
      </c>
      <c r="H1566" t="s">
        <v>1014</v>
      </c>
    </row>
    <row r="1567" spans="1:8">
      <c r="A1567">
        <v>12</v>
      </c>
      <c r="B1567" t="s">
        <v>1547</v>
      </c>
      <c r="C1567">
        <v>9</v>
      </c>
      <c r="D1567">
        <v>3</v>
      </c>
      <c r="E1567">
        <v>27</v>
      </c>
      <c r="F1567">
        <v>1566</v>
      </c>
      <c r="G1567">
        <v>100</v>
      </c>
      <c r="H1567" t="s">
        <v>1014</v>
      </c>
    </row>
    <row r="1568" spans="1:8">
      <c r="A1568">
        <v>24</v>
      </c>
      <c r="B1568" t="s">
        <v>1548</v>
      </c>
      <c r="C1568">
        <v>9</v>
      </c>
      <c r="D1568">
        <v>3</v>
      </c>
      <c r="E1568">
        <v>27</v>
      </c>
      <c r="F1568">
        <v>1567</v>
      </c>
      <c r="G1568">
        <v>100</v>
      </c>
      <c r="H1568" t="s">
        <v>1014</v>
      </c>
    </row>
    <row r="1569" spans="1:8">
      <c r="A1569">
        <v>2683</v>
      </c>
      <c r="B1569" t="s">
        <v>1549</v>
      </c>
      <c r="C1569">
        <v>27</v>
      </c>
      <c r="D1569">
        <v>1</v>
      </c>
      <c r="E1569">
        <v>27</v>
      </c>
      <c r="F1569">
        <v>1568</v>
      </c>
      <c r="G1569">
        <v>100</v>
      </c>
      <c r="H1569" t="s">
        <v>1014</v>
      </c>
    </row>
    <row r="1570" spans="1:8">
      <c r="A1570">
        <v>285</v>
      </c>
      <c r="B1570" t="s">
        <v>1476</v>
      </c>
      <c r="C1570">
        <v>25</v>
      </c>
      <c r="D1570">
        <v>1</v>
      </c>
      <c r="E1570">
        <v>25</v>
      </c>
      <c r="F1570">
        <v>1569</v>
      </c>
      <c r="G1570">
        <v>100</v>
      </c>
      <c r="H1570" t="s">
        <v>1014</v>
      </c>
    </row>
    <row r="1571" spans="1:8">
      <c r="A1571">
        <v>497</v>
      </c>
      <c r="B1571" t="s">
        <v>1550</v>
      </c>
      <c r="C1571">
        <v>25</v>
      </c>
      <c r="D1571">
        <v>1</v>
      </c>
      <c r="E1571">
        <v>25</v>
      </c>
      <c r="F1571">
        <v>1570</v>
      </c>
      <c r="G1571">
        <v>100</v>
      </c>
      <c r="H1571" t="s">
        <v>1014</v>
      </c>
    </row>
    <row r="1572" spans="1:8">
      <c r="A1572">
        <v>3520</v>
      </c>
      <c r="B1572" t="s">
        <v>1098</v>
      </c>
      <c r="C1572">
        <v>25</v>
      </c>
      <c r="D1572">
        <v>1</v>
      </c>
      <c r="E1572">
        <v>25</v>
      </c>
      <c r="F1572">
        <v>1571</v>
      </c>
      <c r="G1572">
        <v>100</v>
      </c>
      <c r="H1572" t="s">
        <v>1014</v>
      </c>
    </row>
    <row r="1573" spans="1:8">
      <c r="A1573">
        <v>1462</v>
      </c>
      <c r="B1573" t="s">
        <v>1551</v>
      </c>
      <c r="C1573">
        <v>23</v>
      </c>
      <c r="D1573">
        <v>1</v>
      </c>
      <c r="E1573">
        <v>23</v>
      </c>
      <c r="F1573">
        <v>1572</v>
      </c>
      <c r="G1573">
        <v>100</v>
      </c>
      <c r="H1573" t="s">
        <v>1014</v>
      </c>
    </row>
    <row r="1574" spans="1:8">
      <c r="A1574">
        <v>79</v>
      </c>
      <c r="B1574" t="s">
        <v>1552</v>
      </c>
      <c r="C1574">
        <v>10</v>
      </c>
      <c r="D1574">
        <v>2</v>
      </c>
      <c r="E1574">
        <v>20</v>
      </c>
      <c r="F1574">
        <v>1573</v>
      </c>
      <c r="G1574">
        <v>100</v>
      </c>
      <c r="H1574" t="s">
        <v>1014</v>
      </c>
    </row>
    <row r="1575" spans="1:8">
      <c r="A1575">
        <v>132</v>
      </c>
      <c r="B1575" t="s">
        <v>1553</v>
      </c>
      <c r="C1575">
        <v>20</v>
      </c>
      <c r="D1575">
        <v>1</v>
      </c>
      <c r="E1575">
        <v>20</v>
      </c>
      <c r="F1575">
        <v>1574</v>
      </c>
      <c r="G1575">
        <v>100</v>
      </c>
      <c r="H1575" t="s">
        <v>1014</v>
      </c>
    </row>
    <row r="1576" spans="1:8">
      <c r="A1576">
        <v>278</v>
      </c>
      <c r="B1576" t="s">
        <v>1554</v>
      </c>
      <c r="C1576">
        <v>10</v>
      </c>
      <c r="D1576">
        <v>2</v>
      </c>
      <c r="E1576">
        <v>20</v>
      </c>
      <c r="F1576">
        <v>1575</v>
      </c>
      <c r="G1576">
        <v>100</v>
      </c>
      <c r="H1576" t="s">
        <v>1014</v>
      </c>
    </row>
    <row r="1577" spans="1:8">
      <c r="A1577">
        <v>295</v>
      </c>
      <c r="B1577" t="s">
        <v>1555</v>
      </c>
      <c r="C1577">
        <v>10</v>
      </c>
      <c r="D1577">
        <v>2</v>
      </c>
      <c r="E1577">
        <v>20</v>
      </c>
      <c r="F1577">
        <v>1576</v>
      </c>
      <c r="G1577">
        <v>100</v>
      </c>
      <c r="H1577" t="s">
        <v>1014</v>
      </c>
    </row>
    <row r="1578" spans="1:8">
      <c r="A1578">
        <v>1418</v>
      </c>
      <c r="B1578" t="s">
        <v>1556</v>
      </c>
      <c r="C1578">
        <v>10</v>
      </c>
      <c r="D1578">
        <v>2</v>
      </c>
      <c r="E1578">
        <v>20</v>
      </c>
      <c r="F1578">
        <v>1577</v>
      </c>
      <c r="G1578">
        <v>100</v>
      </c>
      <c r="H1578" t="s">
        <v>1014</v>
      </c>
    </row>
    <row r="1579" spans="1:8">
      <c r="A1579">
        <v>2628</v>
      </c>
      <c r="B1579" t="s">
        <v>1557</v>
      </c>
      <c r="C1579">
        <v>20</v>
      </c>
      <c r="D1579">
        <v>1</v>
      </c>
      <c r="E1579">
        <v>20</v>
      </c>
      <c r="F1579">
        <v>1578</v>
      </c>
      <c r="G1579">
        <v>100</v>
      </c>
      <c r="H1579" t="s">
        <v>1014</v>
      </c>
    </row>
    <row r="1580" spans="1:8">
      <c r="A1580">
        <v>2834</v>
      </c>
      <c r="B1580" t="s">
        <v>1558</v>
      </c>
      <c r="C1580">
        <v>20</v>
      </c>
      <c r="D1580">
        <v>1</v>
      </c>
      <c r="E1580">
        <v>20</v>
      </c>
      <c r="F1580">
        <v>1579</v>
      </c>
      <c r="G1580">
        <v>100</v>
      </c>
      <c r="H1580" t="s">
        <v>1014</v>
      </c>
    </row>
    <row r="1581" spans="1:8">
      <c r="A1581">
        <v>3442</v>
      </c>
      <c r="B1581" t="s">
        <v>1559</v>
      </c>
      <c r="C1581">
        <v>18</v>
      </c>
      <c r="D1581">
        <v>1</v>
      </c>
      <c r="E1581">
        <v>18</v>
      </c>
      <c r="F1581">
        <v>1580</v>
      </c>
      <c r="G1581">
        <v>100</v>
      </c>
      <c r="H1581" t="s">
        <v>1014</v>
      </c>
    </row>
    <row r="1582" spans="1:8">
      <c r="A1582">
        <v>1401</v>
      </c>
      <c r="B1582" t="s">
        <v>1560</v>
      </c>
      <c r="C1582">
        <v>10</v>
      </c>
      <c r="D1582">
        <v>1</v>
      </c>
      <c r="E1582">
        <v>10</v>
      </c>
      <c r="F1582">
        <v>1581</v>
      </c>
      <c r="G1582">
        <v>100</v>
      </c>
      <c r="H1582" t="s">
        <v>1014</v>
      </c>
    </row>
    <row r="1583" spans="1:8">
      <c r="A1583">
        <v>1408</v>
      </c>
      <c r="B1583" t="s">
        <v>1561</v>
      </c>
      <c r="C1583">
        <v>10</v>
      </c>
      <c r="D1583">
        <v>1</v>
      </c>
      <c r="E1583">
        <v>10</v>
      </c>
      <c r="F1583">
        <v>1582</v>
      </c>
      <c r="G1583">
        <v>100</v>
      </c>
      <c r="H1583" t="s">
        <v>1014</v>
      </c>
    </row>
    <row r="1584" spans="1:8">
      <c r="A1584">
        <v>1431</v>
      </c>
      <c r="B1584" t="s">
        <v>1562</v>
      </c>
      <c r="C1584">
        <v>10</v>
      </c>
      <c r="D1584">
        <v>1</v>
      </c>
      <c r="E1584">
        <v>10</v>
      </c>
      <c r="F1584">
        <v>1583</v>
      </c>
      <c r="G1584">
        <v>100</v>
      </c>
      <c r="H1584" t="s">
        <v>1014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5123-F62E-4CB5-A58C-945C78D09E73}">
  <dimension ref="A1:B5"/>
  <sheetViews>
    <sheetView workbookViewId="0">
      <selection activeCell="I21" sqref="I21"/>
    </sheetView>
  </sheetViews>
  <sheetFormatPr defaultRowHeight="14.25"/>
  <cols>
    <col min="1" max="1" width="19.3984375" bestFit="1" customWidth="1"/>
    <col min="2" max="2" width="12.265625" bestFit="1" customWidth="1"/>
  </cols>
  <sheetData>
    <row r="1" spans="1:2">
      <c r="A1" s="1" t="s">
        <v>1765</v>
      </c>
      <c r="B1" t="s">
        <v>1764</v>
      </c>
    </row>
    <row r="2" spans="1:2">
      <c r="A2" s="2" t="s">
        <v>122</v>
      </c>
      <c r="B2">
        <v>69</v>
      </c>
    </row>
    <row r="3" spans="1:2">
      <c r="A3" s="2" t="s">
        <v>88</v>
      </c>
      <c r="B3">
        <v>29</v>
      </c>
    </row>
    <row r="4" spans="1:2">
      <c r="A4" s="2" t="s">
        <v>118</v>
      </c>
      <c r="B4">
        <v>3</v>
      </c>
    </row>
    <row r="5" spans="1:2">
      <c r="A5" s="2" t="s">
        <v>1766</v>
      </c>
      <c r="B5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FB6A-ED83-4323-9BD1-6BD15C4B87FD}">
  <dimension ref="A1:N226"/>
  <sheetViews>
    <sheetView topLeftCell="B1" workbookViewId="0">
      <selection activeCell="B6" sqref="B6"/>
    </sheetView>
  </sheetViews>
  <sheetFormatPr defaultRowHeight="14.25"/>
  <cols>
    <col min="1" max="1" width="19.73046875" customWidth="1"/>
    <col min="2" max="2" width="54.53125" bestFit="1" customWidth="1"/>
    <col min="3" max="3" width="80.53125" bestFit="1" customWidth="1"/>
    <col min="4" max="4" width="6.1328125" bestFit="1" customWidth="1"/>
    <col min="5" max="5" width="13.06640625" bestFit="1" customWidth="1"/>
    <col min="6" max="6" width="16.86328125" bestFit="1" customWidth="1"/>
    <col min="7" max="7" width="13.06640625" bestFit="1" customWidth="1"/>
    <col min="8" max="8" width="15.19921875" bestFit="1" customWidth="1"/>
    <col min="9" max="9" width="12.265625" bestFit="1" customWidth="1"/>
  </cols>
  <sheetData>
    <row r="1" spans="1:14">
      <c r="A1" s="3" t="s">
        <v>1767</v>
      </c>
    </row>
    <row r="3" spans="1:14">
      <c r="A3" t="s">
        <v>1768</v>
      </c>
      <c r="B3">
        <v>0.4</v>
      </c>
    </row>
    <row r="4" spans="1:14">
      <c r="A4" t="s">
        <v>1769</v>
      </c>
      <c r="B4">
        <v>0.3</v>
      </c>
    </row>
    <row r="5" spans="1:14">
      <c r="A5" t="s">
        <v>1770</v>
      </c>
      <c r="B5">
        <v>0.3</v>
      </c>
    </row>
    <row r="6" spans="1:14">
      <c r="A6" s="3" t="s">
        <v>1771</v>
      </c>
      <c r="B6">
        <f>SUM(B3:B5)</f>
        <v>1</v>
      </c>
    </row>
    <row r="9" spans="1:14">
      <c r="A9" t="s">
        <v>178</v>
      </c>
      <c r="B9" t="s">
        <v>48</v>
      </c>
      <c r="C9" t="s">
        <v>1564</v>
      </c>
      <c r="D9" t="s">
        <v>49</v>
      </c>
      <c r="E9" t="s">
        <v>50</v>
      </c>
      <c r="F9" t="s">
        <v>51</v>
      </c>
      <c r="G9" t="s">
        <v>1565</v>
      </c>
      <c r="H9" t="s">
        <v>1566</v>
      </c>
      <c r="I9" t="s">
        <v>1567</v>
      </c>
      <c r="J9" t="s">
        <v>1772</v>
      </c>
      <c r="K9" t="s">
        <v>1773</v>
      </c>
      <c r="L9" t="s">
        <v>1774</v>
      </c>
      <c r="M9" t="s">
        <v>1775</v>
      </c>
      <c r="N9" t="s">
        <v>1776</v>
      </c>
    </row>
    <row r="10" spans="1:14">
      <c r="A10">
        <v>1250</v>
      </c>
      <c r="B10" t="s">
        <v>1568</v>
      </c>
      <c r="C10" t="s">
        <v>1569</v>
      </c>
      <c r="D10">
        <v>295</v>
      </c>
      <c r="E10">
        <v>147</v>
      </c>
      <c r="F10">
        <v>50</v>
      </c>
      <c r="G10">
        <v>2</v>
      </c>
      <c r="H10">
        <v>2</v>
      </c>
      <c r="I10">
        <v>200</v>
      </c>
      <c r="J10">
        <f>(tblRestock[[#This Row],[discount_percent]]-MIN(tblRestock[discount_percent]))/(MAX(tblRestock[discount_percent])-MIN(tblRestock[discount_percent]))</f>
        <v>1</v>
      </c>
      <c r="K10">
        <f>(tblRestock[[#This Row],[selling_price]]-MIN(tblRestock[selling_price]))/(MAX(tblRestock[selling_price])-MIN(tblRestock[selling_price]))</f>
        <v>0.24820143884892087</v>
      </c>
      <c r="L10">
        <f>(tblRestock[[#This Row],[listing_count]]-MIN(tblRestock[listing_count]))/(MAX(tblRestock[listing_count])-MIN(tblRestock[listing_count]))</f>
        <v>0.2</v>
      </c>
      <c r="M10">
        <f>$B$3*tblRestock[[#This Row],[Disc_N]]+$B$4*tblRestock[[#This Row],[Price_N]]+$B$5*tblRestock[[#This Row],[Vis_N]]</f>
        <v>0.53446043165467627</v>
      </c>
      <c r="N10">
        <f t="shared" ref="N10:N73" si="0">_xlfn.RANK.EQ(M10,$M$10:$M$226,0)+COUNTIFS($M$10:$M$226,M10,$A$10:$A$226,"&lt;"&amp;A10)</f>
        <v>2</v>
      </c>
    </row>
    <row r="11" spans="1:14">
      <c r="A11">
        <v>594</v>
      </c>
      <c r="B11" t="s">
        <v>1570</v>
      </c>
      <c r="C11" t="s">
        <v>1571</v>
      </c>
      <c r="D11">
        <v>160</v>
      </c>
      <c r="E11">
        <v>80</v>
      </c>
      <c r="F11">
        <v>50</v>
      </c>
      <c r="G11">
        <v>5</v>
      </c>
      <c r="H11">
        <v>5</v>
      </c>
      <c r="I11">
        <v>500</v>
      </c>
      <c r="J11">
        <f>(tblRestock[[#This Row],[discount_percent]]-MIN(tblRestock[discount_percent]))/(MAX(tblRestock[discount_percent])-MIN(tblRestock[discount_percent]))</f>
        <v>1</v>
      </c>
      <c r="K11">
        <f>(tblRestock[[#This Row],[selling_price]]-MIN(tblRestock[selling_price]))/(MAX(tblRestock[selling_price])-MIN(tblRestock[selling_price]))</f>
        <v>0.12769784172661872</v>
      </c>
      <c r="L11">
        <f>(tblRestock[[#This Row],[listing_count]]-MIN(tblRestock[listing_count]))/(MAX(tblRestock[listing_count])-MIN(tblRestock[listing_count]))</f>
        <v>0.8</v>
      </c>
      <c r="M11">
        <f>$B$3*tblRestock[[#This Row],[Disc_N]]+$B$4*tblRestock[[#This Row],[Price_N]]+$B$5*tblRestock[[#This Row],[Vis_N]]</f>
        <v>0.67830935251798563</v>
      </c>
      <c r="N11">
        <f t="shared" si="0"/>
        <v>1</v>
      </c>
    </row>
    <row r="12" spans="1:14">
      <c r="A12">
        <v>2722</v>
      </c>
      <c r="B12" t="s">
        <v>1572</v>
      </c>
      <c r="C12" t="s">
        <v>14</v>
      </c>
      <c r="D12">
        <v>150</v>
      </c>
      <c r="E12">
        <v>75</v>
      </c>
      <c r="F12">
        <v>50</v>
      </c>
      <c r="G12">
        <v>1</v>
      </c>
      <c r="H12">
        <v>1</v>
      </c>
      <c r="I12">
        <v>250</v>
      </c>
      <c r="J12">
        <f>(tblRestock[[#This Row],[discount_percent]]-MIN(tblRestock[discount_percent]))/(MAX(tblRestock[discount_percent])-MIN(tblRestock[discount_percent]))</f>
        <v>1</v>
      </c>
      <c r="K12">
        <f>(tblRestock[[#This Row],[selling_price]]-MIN(tblRestock[selling_price]))/(MAX(tblRestock[selling_price])-MIN(tblRestock[selling_price]))</f>
        <v>0.11870503597122302</v>
      </c>
      <c r="L12">
        <f>(tblRestock[[#This Row],[listing_count]]-MIN(tblRestock[listing_count]))/(MAX(tblRestock[listing_count])-MIN(tblRestock[listing_count]))</f>
        <v>0</v>
      </c>
      <c r="M12">
        <f>$B$3*tblRestock[[#This Row],[Disc_N]]+$B$4*tblRestock[[#This Row],[Price_N]]+$B$5*tblRestock[[#This Row],[Vis_N]]</f>
        <v>0.43561151079136695</v>
      </c>
      <c r="N12">
        <f t="shared" si="0"/>
        <v>4</v>
      </c>
    </row>
    <row r="13" spans="1:14">
      <c r="A13">
        <v>3720</v>
      </c>
      <c r="B13" t="s">
        <v>1573</v>
      </c>
      <c r="C13" t="s">
        <v>21</v>
      </c>
      <c r="D13">
        <v>40</v>
      </c>
      <c r="E13">
        <v>20</v>
      </c>
      <c r="F13">
        <v>50</v>
      </c>
      <c r="G13">
        <v>1</v>
      </c>
      <c r="H13">
        <v>1</v>
      </c>
      <c r="I13">
        <v>75</v>
      </c>
      <c r="J13">
        <f>(tblRestock[[#This Row],[discount_percent]]-MIN(tblRestock[discount_percent]))/(MAX(tblRestock[discount_percent])-MIN(tblRestock[discount_percent]))</f>
        <v>1</v>
      </c>
      <c r="K13">
        <f>(tblRestock[[#This Row],[selling_price]]-MIN(tblRestock[selling_price]))/(MAX(tblRestock[selling_price])-MIN(tblRestock[selling_price]))</f>
        <v>1.9784172661870502E-2</v>
      </c>
      <c r="L13">
        <f>(tblRestock[[#This Row],[listing_count]]-MIN(tblRestock[listing_count]))/(MAX(tblRestock[listing_count])-MIN(tblRestock[listing_count]))</f>
        <v>0</v>
      </c>
      <c r="M13">
        <f>$B$3*tblRestock[[#This Row],[Disc_N]]+$B$4*tblRestock[[#This Row],[Price_N]]+$B$5*tblRestock[[#This Row],[Vis_N]]</f>
        <v>0.40593525179856116</v>
      </c>
      <c r="N13">
        <f t="shared" si="0"/>
        <v>6</v>
      </c>
    </row>
    <row r="14" spans="1:14">
      <c r="A14">
        <v>600</v>
      </c>
      <c r="B14" t="s">
        <v>1574</v>
      </c>
      <c r="C14" t="s">
        <v>1575</v>
      </c>
      <c r="D14">
        <v>99</v>
      </c>
      <c r="E14">
        <v>59</v>
      </c>
      <c r="F14">
        <v>40</v>
      </c>
      <c r="G14">
        <v>2</v>
      </c>
      <c r="H14">
        <v>2</v>
      </c>
      <c r="I14">
        <v>500</v>
      </c>
      <c r="J14">
        <f>(tblRestock[[#This Row],[discount_percent]]-MIN(tblRestock[discount_percent]))/(MAX(tblRestock[discount_percent])-MIN(tblRestock[discount_percent]))</f>
        <v>0.8</v>
      </c>
      <c r="K14">
        <f>(tblRestock[[#This Row],[selling_price]]-MIN(tblRestock[selling_price]))/(MAX(tblRestock[selling_price])-MIN(tblRestock[selling_price]))</f>
        <v>8.9928057553956831E-2</v>
      </c>
      <c r="L14">
        <f>(tblRestock[[#This Row],[listing_count]]-MIN(tblRestock[listing_count]))/(MAX(tblRestock[listing_count])-MIN(tblRestock[listing_count]))</f>
        <v>0.2</v>
      </c>
      <c r="M14">
        <f>$B$3*tblRestock[[#This Row],[Disc_N]]+$B$4*tblRestock[[#This Row],[Price_N]]+$B$5*tblRestock[[#This Row],[Vis_N]]</f>
        <v>0.40697841726618711</v>
      </c>
      <c r="N14">
        <f t="shared" si="0"/>
        <v>5</v>
      </c>
    </row>
    <row r="15" spans="1:14">
      <c r="A15">
        <v>2745</v>
      </c>
      <c r="B15" t="s">
        <v>90</v>
      </c>
      <c r="C15" t="s">
        <v>14</v>
      </c>
      <c r="D15">
        <v>230</v>
      </c>
      <c r="E15">
        <v>172</v>
      </c>
      <c r="F15">
        <v>25</v>
      </c>
      <c r="G15">
        <v>1</v>
      </c>
      <c r="H15">
        <v>1</v>
      </c>
      <c r="I15">
        <v>1000</v>
      </c>
      <c r="J15">
        <f>(tblRestock[[#This Row],[discount_percent]]-MIN(tblRestock[discount_percent]))/(MAX(tblRestock[discount_percent])-MIN(tblRestock[discount_percent]))</f>
        <v>0.5</v>
      </c>
      <c r="K15">
        <f>(tblRestock[[#This Row],[selling_price]]-MIN(tblRestock[selling_price]))/(MAX(tblRestock[selling_price])-MIN(tblRestock[selling_price]))</f>
        <v>0.29316546762589929</v>
      </c>
      <c r="L15">
        <f>(tblRestock[[#This Row],[listing_count]]-MIN(tblRestock[listing_count]))/(MAX(tblRestock[listing_count])-MIN(tblRestock[listing_count]))</f>
        <v>0</v>
      </c>
      <c r="M15">
        <f>$B$3*tblRestock[[#This Row],[Disc_N]]+$B$4*tblRestock[[#This Row],[Price_N]]+$B$5*tblRestock[[#This Row],[Vis_N]]</f>
        <v>0.28794964028776981</v>
      </c>
      <c r="N15">
        <f t="shared" si="0"/>
        <v>21</v>
      </c>
    </row>
    <row r="16" spans="1:14">
      <c r="A16">
        <v>1729</v>
      </c>
      <c r="B16" t="s">
        <v>1576</v>
      </c>
      <c r="C16" t="s">
        <v>1577</v>
      </c>
      <c r="D16">
        <v>50</v>
      </c>
      <c r="E16">
        <v>38</v>
      </c>
      <c r="F16">
        <v>24</v>
      </c>
      <c r="G16">
        <v>3</v>
      </c>
      <c r="H16">
        <v>3</v>
      </c>
      <c r="I16">
        <v>200</v>
      </c>
      <c r="J16">
        <f>(tblRestock[[#This Row],[discount_percent]]-MIN(tblRestock[discount_percent]))/(MAX(tblRestock[discount_percent])-MIN(tblRestock[discount_percent]))</f>
        <v>0.48</v>
      </c>
      <c r="K16">
        <f>(tblRestock[[#This Row],[selling_price]]-MIN(tblRestock[selling_price]))/(MAX(tblRestock[selling_price])-MIN(tblRestock[selling_price]))</f>
        <v>5.2158273381294966E-2</v>
      </c>
      <c r="L16">
        <f>(tblRestock[[#This Row],[listing_count]]-MIN(tblRestock[listing_count]))/(MAX(tblRestock[listing_count])-MIN(tblRestock[listing_count]))</f>
        <v>0.4</v>
      </c>
      <c r="M16">
        <f>$B$3*tblRestock[[#This Row],[Disc_N]]+$B$4*tblRestock[[#This Row],[Price_N]]+$B$5*tblRestock[[#This Row],[Vis_N]]</f>
        <v>0.32764748201438848</v>
      </c>
      <c r="N16">
        <f t="shared" si="0"/>
        <v>13</v>
      </c>
    </row>
    <row r="17" spans="1:14">
      <c r="A17">
        <v>2749</v>
      </c>
      <c r="B17" t="s">
        <v>1578</v>
      </c>
      <c r="C17" t="s">
        <v>14</v>
      </c>
      <c r="D17">
        <v>105</v>
      </c>
      <c r="E17">
        <v>81</v>
      </c>
      <c r="F17">
        <v>22</v>
      </c>
      <c r="G17">
        <v>1</v>
      </c>
      <c r="H17">
        <v>1</v>
      </c>
      <c r="I17">
        <v>75</v>
      </c>
      <c r="J17">
        <f>(tblRestock[[#This Row],[discount_percent]]-MIN(tblRestock[discount_percent]))/(MAX(tblRestock[discount_percent])-MIN(tblRestock[discount_percent]))</f>
        <v>0.44</v>
      </c>
      <c r="K17">
        <f>(tblRestock[[#This Row],[selling_price]]-MIN(tblRestock[selling_price]))/(MAX(tblRestock[selling_price])-MIN(tblRestock[selling_price]))</f>
        <v>0.12949640287769784</v>
      </c>
      <c r="L17">
        <f>(tblRestock[[#This Row],[listing_count]]-MIN(tblRestock[listing_count]))/(MAX(tblRestock[listing_count])-MIN(tblRestock[listing_count]))</f>
        <v>0</v>
      </c>
      <c r="M17">
        <f>$B$3*tblRestock[[#This Row],[Disc_N]]+$B$4*tblRestock[[#This Row],[Price_N]]+$B$5*tblRestock[[#This Row],[Vis_N]]</f>
        <v>0.21484892086330937</v>
      </c>
      <c r="N17">
        <f t="shared" si="0"/>
        <v>45</v>
      </c>
    </row>
    <row r="18" spans="1:14">
      <c r="A18">
        <v>1241</v>
      </c>
      <c r="B18" t="s">
        <v>1579</v>
      </c>
      <c r="C18" t="s">
        <v>1580</v>
      </c>
      <c r="D18">
        <v>185</v>
      </c>
      <c r="E18">
        <v>148</v>
      </c>
      <c r="F18">
        <v>20</v>
      </c>
      <c r="G18">
        <v>5</v>
      </c>
      <c r="H18">
        <v>5</v>
      </c>
      <c r="I18">
        <v>325</v>
      </c>
      <c r="J18">
        <f>(tblRestock[[#This Row],[discount_percent]]-MIN(tblRestock[discount_percent]))/(MAX(tblRestock[discount_percent])-MIN(tblRestock[discount_percent]))</f>
        <v>0.4</v>
      </c>
      <c r="K18">
        <f>(tblRestock[[#This Row],[selling_price]]-MIN(tblRestock[selling_price]))/(MAX(tblRestock[selling_price])-MIN(tblRestock[selling_price]))</f>
        <v>0.25</v>
      </c>
      <c r="L18">
        <f>(tblRestock[[#This Row],[listing_count]]-MIN(tblRestock[listing_count]))/(MAX(tblRestock[listing_count])-MIN(tblRestock[listing_count]))</f>
        <v>0.8</v>
      </c>
      <c r="M18">
        <f>$B$3*tblRestock[[#This Row],[Disc_N]]+$B$4*tblRestock[[#This Row],[Price_N]]+$B$5*tblRestock[[#This Row],[Vis_N]]</f>
        <v>0.47500000000000003</v>
      </c>
      <c r="N18">
        <f t="shared" si="0"/>
        <v>3</v>
      </c>
    </row>
    <row r="19" spans="1:14">
      <c r="A19">
        <v>89</v>
      </c>
      <c r="B19" t="s">
        <v>162</v>
      </c>
      <c r="C19" t="s">
        <v>28</v>
      </c>
      <c r="D19">
        <v>11</v>
      </c>
      <c r="E19">
        <v>9</v>
      </c>
      <c r="F19">
        <v>18</v>
      </c>
      <c r="G19">
        <v>1</v>
      </c>
      <c r="H19">
        <v>1</v>
      </c>
      <c r="I19">
        <v>250</v>
      </c>
      <c r="J19">
        <f>(tblRestock[[#This Row],[discount_percent]]-MIN(tblRestock[discount_percent]))/(MAX(tblRestock[discount_percent])-MIN(tblRestock[discount_percent]))</f>
        <v>0.36</v>
      </c>
      <c r="K19">
        <f>(tblRestock[[#This Row],[selling_price]]-MIN(tblRestock[selling_price]))/(MAX(tblRestock[selling_price])-MIN(tblRestock[selling_price]))</f>
        <v>0</v>
      </c>
      <c r="L19">
        <f>(tblRestock[[#This Row],[listing_count]]-MIN(tblRestock[listing_count]))/(MAX(tblRestock[listing_count])-MIN(tblRestock[listing_count]))</f>
        <v>0</v>
      </c>
      <c r="M19">
        <f>$B$3*tblRestock[[#This Row],[Disc_N]]+$B$4*tblRestock[[#This Row],[Price_N]]+$B$5*tblRestock[[#This Row],[Vis_N]]</f>
        <v>0.14399999999999999</v>
      </c>
      <c r="N19">
        <f t="shared" si="0"/>
        <v>105</v>
      </c>
    </row>
    <row r="20" spans="1:14">
      <c r="A20">
        <v>1246</v>
      </c>
      <c r="B20" t="s">
        <v>1581</v>
      </c>
      <c r="C20" t="s">
        <v>1582</v>
      </c>
      <c r="D20">
        <v>75</v>
      </c>
      <c r="E20">
        <v>62</v>
      </c>
      <c r="F20">
        <v>17</v>
      </c>
      <c r="G20">
        <v>3</v>
      </c>
      <c r="H20">
        <v>3</v>
      </c>
      <c r="I20">
        <v>348</v>
      </c>
      <c r="J20">
        <f>(tblRestock[[#This Row],[discount_percent]]-MIN(tblRestock[discount_percent]))/(MAX(tblRestock[discount_percent])-MIN(tblRestock[discount_percent]))</f>
        <v>0.34</v>
      </c>
      <c r="K20">
        <f>(tblRestock[[#This Row],[selling_price]]-MIN(tblRestock[selling_price]))/(MAX(tblRestock[selling_price])-MIN(tblRestock[selling_price]))</f>
        <v>9.5323741007194249E-2</v>
      </c>
      <c r="L20">
        <f>(tblRestock[[#This Row],[listing_count]]-MIN(tblRestock[listing_count]))/(MAX(tblRestock[listing_count])-MIN(tblRestock[listing_count]))</f>
        <v>0.4</v>
      </c>
      <c r="M20">
        <f>$B$3*tblRestock[[#This Row],[Disc_N]]+$B$4*tblRestock[[#This Row],[Price_N]]+$B$5*tblRestock[[#This Row],[Vis_N]]</f>
        <v>0.28459712230215828</v>
      </c>
      <c r="N20">
        <f t="shared" si="0"/>
        <v>23</v>
      </c>
    </row>
    <row r="21" spans="1:14">
      <c r="A21">
        <v>2751</v>
      </c>
      <c r="B21" t="s">
        <v>1583</v>
      </c>
      <c r="C21" t="s">
        <v>14</v>
      </c>
      <c r="D21">
        <v>35</v>
      </c>
      <c r="E21">
        <v>29</v>
      </c>
      <c r="F21">
        <v>17</v>
      </c>
      <c r="G21">
        <v>1</v>
      </c>
      <c r="H21">
        <v>1</v>
      </c>
      <c r="I21">
        <v>150</v>
      </c>
      <c r="J21">
        <f>(tblRestock[[#This Row],[discount_percent]]-MIN(tblRestock[discount_percent]))/(MAX(tblRestock[discount_percent])-MIN(tblRestock[discount_percent]))</f>
        <v>0.34</v>
      </c>
      <c r="K21">
        <f>(tblRestock[[#This Row],[selling_price]]-MIN(tblRestock[selling_price]))/(MAX(tblRestock[selling_price])-MIN(tblRestock[selling_price]))</f>
        <v>3.5971223021582732E-2</v>
      </c>
      <c r="L21">
        <f>(tblRestock[[#This Row],[listing_count]]-MIN(tblRestock[listing_count]))/(MAX(tblRestock[listing_count])-MIN(tblRestock[listing_count]))</f>
        <v>0</v>
      </c>
      <c r="M21">
        <f>$B$3*tblRestock[[#This Row],[Disc_N]]+$B$4*tblRestock[[#This Row],[Price_N]]+$B$5*tblRestock[[#This Row],[Vis_N]]</f>
        <v>0.14679136690647482</v>
      </c>
      <c r="N21">
        <f t="shared" si="0"/>
        <v>100</v>
      </c>
    </row>
    <row r="22" spans="1:14">
      <c r="A22">
        <v>90</v>
      </c>
      <c r="B22" t="s">
        <v>1584</v>
      </c>
      <c r="C22" t="s">
        <v>28</v>
      </c>
      <c r="D22">
        <v>35</v>
      </c>
      <c r="E22">
        <v>29</v>
      </c>
      <c r="F22">
        <v>17</v>
      </c>
      <c r="G22">
        <v>1</v>
      </c>
      <c r="H22">
        <v>1</v>
      </c>
      <c r="I22">
        <v>200</v>
      </c>
      <c r="J22">
        <f>(tblRestock[[#This Row],[discount_percent]]-MIN(tblRestock[discount_percent]))/(MAX(tblRestock[discount_percent])-MIN(tblRestock[discount_percent]))</f>
        <v>0.34</v>
      </c>
      <c r="K22">
        <f>(tblRestock[[#This Row],[selling_price]]-MIN(tblRestock[selling_price]))/(MAX(tblRestock[selling_price])-MIN(tblRestock[selling_price]))</f>
        <v>3.5971223021582732E-2</v>
      </c>
      <c r="L22">
        <f>(tblRestock[[#This Row],[listing_count]]-MIN(tblRestock[listing_count]))/(MAX(tblRestock[listing_count])-MIN(tblRestock[listing_count]))</f>
        <v>0</v>
      </c>
      <c r="M22">
        <f>$B$3*tblRestock[[#This Row],[Disc_N]]+$B$4*tblRestock[[#This Row],[Price_N]]+$B$5*tblRestock[[#This Row],[Vis_N]]</f>
        <v>0.14679136690647482</v>
      </c>
      <c r="N22">
        <f t="shared" si="0"/>
        <v>99</v>
      </c>
    </row>
    <row r="23" spans="1:14">
      <c r="A23">
        <v>599</v>
      </c>
      <c r="B23" t="s">
        <v>1585</v>
      </c>
      <c r="C23" t="s">
        <v>1571</v>
      </c>
      <c r="D23">
        <v>28</v>
      </c>
      <c r="E23">
        <v>23</v>
      </c>
      <c r="F23">
        <v>17</v>
      </c>
      <c r="G23">
        <v>5</v>
      </c>
      <c r="H23">
        <v>5</v>
      </c>
      <c r="I23">
        <v>65</v>
      </c>
      <c r="J23">
        <f>(tblRestock[[#This Row],[discount_percent]]-MIN(tblRestock[discount_percent]))/(MAX(tblRestock[discount_percent])-MIN(tblRestock[discount_percent]))</f>
        <v>0.34</v>
      </c>
      <c r="K23">
        <f>(tblRestock[[#This Row],[selling_price]]-MIN(tblRestock[selling_price]))/(MAX(tblRestock[selling_price])-MIN(tblRestock[selling_price]))</f>
        <v>2.5179856115107913E-2</v>
      </c>
      <c r="L23">
        <f>(tblRestock[[#This Row],[listing_count]]-MIN(tblRestock[listing_count]))/(MAX(tblRestock[listing_count])-MIN(tblRestock[listing_count]))</f>
        <v>0.8</v>
      </c>
      <c r="M23">
        <f>$B$3*tblRestock[[#This Row],[Disc_N]]+$B$4*tblRestock[[#This Row],[Price_N]]+$B$5*tblRestock[[#This Row],[Vis_N]]</f>
        <v>0.38355395683453236</v>
      </c>
      <c r="N23">
        <f t="shared" si="0"/>
        <v>9</v>
      </c>
    </row>
    <row r="24" spans="1:14">
      <c r="A24">
        <v>3083</v>
      </c>
      <c r="B24" t="s">
        <v>87</v>
      </c>
      <c r="C24" t="s">
        <v>1586</v>
      </c>
      <c r="D24">
        <v>100</v>
      </c>
      <c r="E24">
        <v>84</v>
      </c>
      <c r="F24">
        <v>16</v>
      </c>
      <c r="G24">
        <v>2</v>
      </c>
      <c r="H24">
        <v>2</v>
      </c>
      <c r="I24">
        <v>500</v>
      </c>
      <c r="J24">
        <f>(tblRestock[[#This Row],[discount_percent]]-MIN(tblRestock[discount_percent]))/(MAX(tblRestock[discount_percent])-MIN(tblRestock[discount_percent]))</f>
        <v>0.32</v>
      </c>
      <c r="K24">
        <f>(tblRestock[[#This Row],[selling_price]]-MIN(tblRestock[selling_price]))/(MAX(tblRestock[selling_price])-MIN(tblRestock[selling_price]))</f>
        <v>0.13489208633093525</v>
      </c>
      <c r="L24">
        <f>(tblRestock[[#This Row],[listing_count]]-MIN(tblRestock[listing_count]))/(MAX(tblRestock[listing_count])-MIN(tblRestock[listing_count]))</f>
        <v>0.2</v>
      </c>
      <c r="M24">
        <f>$B$3*tblRestock[[#This Row],[Disc_N]]+$B$4*tblRestock[[#This Row],[Price_N]]+$B$5*tblRestock[[#This Row],[Vis_N]]</f>
        <v>0.22846762589928057</v>
      </c>
      <c r="N24">
        <f t="shared" si="0"/>
        <v>42</v>
      </c>
    </row>
    <row r="25" spans="1:14">
      <c r="A25">
        <v>1249</v>
      </c>
      <c r="B25" t="s">
        <v>172</v>
      </c>
      <c r="C25" t="s">
        <v>1582</v>
      </c>
      <c r="D25">
        <v>72</v>
      </c>
      <c r="E25">
        <v>60</v>
      </c>
      <c r="F25">
        <v>16</v>
      </c>
      <c r="G25">
        <v>3</v>
      </c>
      <c r="H25">
        <v>3</v>
      </c>
      <c r="I25">
        <v>348</v>
      </c>
      <c r="J25">
        <f>(tblRestock[[#This Row],[discount_percent]]-MIN(tblRestock[discount_percent]))/(MAX(tblRestock[discount_percent])-MIN(tblRestock[discount_percent]))</f>
        <v>0.32</v>
      </c>
      <c r="K25">
        <f>(tblRestock[[#This Row],[selling_price]]-MIN(tblRestock[selling_price]))/(MAX(tblRestock[selling_price])-MIN(tblRestock[selling_price]))</f>
        <v>9.172661870503597E-2</v>
      </c>
      <c r="L25">
        <f>(tblRestock[[#This Row],[listing_count]]-MIN(tblRestock[listing_count]))/(MAX(tblRestock[listing_count])-MIN(tblRestock[listing_count]))</f>
        <v>0.4</v>
      </c>
      <c r="M25">
        <f>$B$3*tblRestock[[#This Row],[Disc_N]]+$B$4*tblRestock[[#This Row],[Price_N]]+$B$5*tblRestock[[#This Row],[Vis_N]]</f>
        <v>0.27551798561151075</v>
      </c>
      <c r="N25">
        <f t="shared" si="0"/>
        <v>25</v>
      </c>
    </row>
    <row r="26" spans="1:14">
      <c r="A26">
        <v>3729</v>
      </c>
      <c r="B26" t="s">
        <v>1587</v>
      </c>
      <c r="C26" t="s">
        <v>21</v>
      </c>
      <c r="D26">
        <v>105</v>
      </c>
      <c r="E26">
        <v>89</v>
      </c>
      <c r="F26">
        <v>15</v>
      </c>
      <c r="G26">
        <v>1</v>
      </c>
      <c r="H26">
        <v>1</v>
      </c>
      <c r="I26">
        <v>100</v>
      </c>
      <c r="J26">
        <f>(tblRestock[[#This Row],[discount_percent]]-MIN(tblRestock[discount_percent]))/(MAX(tblRestock[discount_percent])-MIN(tblRestock[discount_percent]))</f>
        <v>0.3</v>
      </c>
      <c r="K26">
        <f>(tblRestock[[#This Row],[selling_price]]-MIN(tblRestock[selling_price]))/(MAX(tblRestock[selling_price])-MIN(tblRestock[selling_price]))</f>
        <v>0.14388489208633093</v>
      </c>
      <c r="L26">
        <f>(tblRestock[[#This Row],[listing_count]]-MIN(tblRestock[listing_count]))/(MAX(tblRestock[listing_count])-MIN(tblRestock[listing_count]))</f>
        <v>0</v>
      </c>
      <c r="M26">
        <f>$B$3*tblRestock[[#This Row],[Disc_N]]+$B$4*tblRestock[[#This Row],[Price_N]]+$B$5*tblRestock[[#This Row],[Vis_N]]</f>
        <v>0.16316546762589929</v>
      </c>
      <c r="N26">
        <f t="shared" si="0"/>
        <v>81</v>
      </c>
    </row>
    <row r="27" spans="1:14">
      <c r="A27">
        <v>3633</v>
      </c>
      <c r="B27" t="s">
        <v>1588</v>
      </c>
      <c r="C27" t="s">
        <v>27</v>
      </c>
      <c r="D27">
        <v>80</v>
      </c>
      <c r="E27">
        <v>68</v>
      </c>
      <c r="F27">
        <v>15</v>
      </c>
      <c r="G27">
        <v>1</v>
      </c>
      <c r="H27">
        <v>1</v>
      </c>
      <c r="I27">
        <v>58</v>
      </c>
      <c r="J27">
        <f>(tblRestock[[#This Row],[discount_percent]]-MIN(tblRestock[discount_percent]))/(MAX(tblRestock[discount_percent])-MIN(tblRestock[discount_percent]))</f>
        <v>0.3</v>
      </c>
      <c r="K27">
        <f>(tblRestock[[#This Row],[selling_price]]-MIN(tblRestock[selling_price]))/(MAX(tblRestock[selling_price])-MIN(tblRestock[selling_price]))</f>
        <v>0.10611510791366907</v>
      </c>
      <c r="L27">
        <f>(tblRestock[[#This Row],[listing_count]]-MIN(tblRestock[listing_count]))/(MAX(tblRestock[listing_count])-MIN(tblRestock[listing_count]))</f>
        <v>0</v>
      </c>
      <c r="M27">
        <f>$B$3*tblRestock[[#This Row],[Disc_N]]+$B$4*tblRestock[[#This Row],[Price_N]]+$B$5*tblRestock[[#This Row],[Vis_N]]</f>
        <v>0.15183453237410072</v>
      </c>
      <c r="N27">
        <f t="shared" si="0"/>
        <v>93</v>
      </c>
    </row>
    <row r="28" spans="1:14">
      <c r="A28">
        <v>601</v>
      </c>
      <c r="B28" t="s">
        <v>1589</v>
      </c>
      <c r="C28" t="s">
        <v>1575</v>
      </c>
      <c r="D28">
        <v>60</v>
      </c>
      <c r="E28">
        <v>51</v>
      </c>
      <c r="F28">
        <v>15</v>
      </c>
      <c r="G28">
        <v>2</v>
      </c>
      <c r="H28">
        <v>2</v>
      </c>
      <c r="I28">
        <v>100</v>
      </c>
      <c r="J28">
        <f>(tblRestock[[#This Row],[discount_percent]]-MIN(tblRestock[discount_percent]))/(MAX(tblRestock[discount_percent])-MIN(tblRestock[discount_percent]))</f>
        <v>0.3</v>
      </c>
      <c r="K28">
        <f>(tblRestock[[#This Row],[selling_price]]-MIN(tblRestock[selling_price]))/(MAX(tblRestock[selling_price])-MIN(tblRestock[selling_price]))</f>
        <v>7.5539568345323743E-2</v>
      </c>
      <c r="L28">
        <f>(tblRestock[[#This Row],[listing_count]]-MIN(tblRestock[listing_count]))/(MAX(tblRestock[listing_count])-MIN(tblRestock[listing_count]))</f>
        <v>0.2</v>
      </c>
      <c r="M28">
        <f>$B$3*tblRestock[[#This Row],[Disc_N]]+$B$4*tblRestock[[#This Row],[Price_N]]+$B$5*tblRestock[[#This Row],[Vis_N]]</f>
        <v>0.20266187050359713</v>
      </c>
      <c r="N28">
        <f t="shared" si="0"/>
        <v>52</v>
      </c>
    </row>
    <row r="29" spans="1:14">
      <c r="A29">
        <v>88</v>
      </c>
      <c r="B29" t="s">
        <v>167</v>
      </c>
      <c r="C29" t="s">
        <v>28</v>
      </c>
      <c r="D29">
        <v>13</v>
      </c>
      <c r="E29">
        <v>11</v>
      </c>
      <c r="F29">
        <v>15</v>
      </c>
      <c r="G29">
        <v>1</v>
      </c>
      <c r="H29">
        <v>1</v>
      </c>
      <c r="I29">
        <v>250</v>
      </c>
      <c r="J29">
        <f>(tblRestock[[#This Row],[discount_percent]]-MIN(tblRestock[discount_percent]))/(MAX(tblRestock[discount_percent])-MIN(tblRestock[discount_percent]))</f>
        <v>0.3</v>
      </c>
      <c r="K29">
        <f>(tblRestock[[#This Row],[selling_price]]-MIN(tblRestock[selling_price]))/(MAX(tblRestock[selling_price])-MIN(tblRestock[selling_price]))</f>
        <v>3.5971223021582736E-3</v>
      </c>
      <c r="L29">
        <f>(tblRestock[[#This Row],[listing_count]]-MIN(tblRestock[listing_count]))/(MAX(tblRestock[listing_count])-MIN(tblRestock[listing_count]))</f>
        <v>0</v>
      </c>
      <c r="M29">
        <f>$B$3*tblRestock[[#This Row],[Disc_N]]+$B$4*tblRestock[[#This Row],[Price_N]]+$B$5*tblRestock[[#This Row],[Vis_N]]</f>
        <v>0.12107913669064747</v>
      </c>
      <c r="N29">
        <f t="shared" si="0"/>
        <v>122</v>
      </c>
    </row>
    <row r="30" spans="1:14">
      <c r="A30">
        <v>553</v>
      </c>
      <c r="B30" t="s">
        <v>1590</v>
      </c>
      <c r="C30" t="s">
        <v>1575</v>
      </c>
      <c r="D30">
        <v>150</v>
      </c>
      <c r="E30">
        <v>128</v>
      </c>
      <c r="F30">
        <v>14</v>
      </c>
      <c r="G30">
        <v>2</v>
      </c>
      <c r="H30">
        <v>2</v>
      </c>
      <c r="I30">
        <v>100</v>
      </c>
      <c r="J30">
        <f>(tblRestock[[#This Row],[discount_percent]]-MIN(tblRestock[discount_percent]))/(MAX(tblRestock[discount_percent])-MIN(tblRestock[discount_percent]))</f>
        <v>0.28000000000000003</v>
      </c>
      <c r="K30">
        <f>(tblRestock[[#This Row],[selling_price]]-MIN(tblRestock[selling_price]))/(MAX(tblRestock[selling_price])-MIN(tblRestock[selling_price]))</f>
        <v>0.21402877697841727</v>
      </c>
      <c r="L30">
        <f>(tblRestock[[#This Row],[listing_count]]-MIN(tblRestock[listing_count]))/(MAX(tblRestock[listing_count])-MIN(tblRestock[listing_count]))</f>
        <v>0.2</v>
      </c>
      <c r="M30">
        <f>$B$3*tblRestock[[#This Row],[Disc_N]]+$B$4*tblRestock[[#This Row],[Price_N]]+$B$5*tblRestock[[#This Row],[Vis_N]]</f>
        <v>0.23620863309352519</v>
      </c>
      <c r="N30">
        <f t="shared" si="0"/>
        <v>38</v>
      </c>
    </row>
    <row r="31" spans="1:14">
      <c r="A31">
        <v>549</v>
      </c>
      <c r="B31" t="s">
        <v>97</v>
      </c>
      <c r="C31" t="s">
        <v>1575</v>
      </c>
      <c r="D31">
        <v>210</v>
      </c>
      <c r="E31">
        <v>181</v>
      </c>
      <c r="F31">
        <v>13</v>
      </c>
      <c r="G31">
        <v>2</v>
      </c>
      <c r="H31">
        <v>2</v>
      </c>
      <c r="I31">
        <v>1000</v>
      </c>
      <c r="J31">
        <f>(tblRestock[[#This Row],[discount_percent]]-MIN(tblRestock[discount_percent]))/(MAX(tblRestock[discount_percent])-MIN(tblRestock[discount_percent]))</f>
        <v>0.26</v>
      </c>
      <c r="K31">
        <f>(tblRestock[[#This Row],[selling_price]]-MIN(tblRestock[selling_price]))/(MAX(tblRestock[selling_price])-MIN(tblRestock[selling_price]))</f>
        <v>0.30935251798561153</v>
      </c>
      <c r="L31">
        <f>(tblRestock[[#This Row],[listing_count]]-MIN(tblRestock[listing_count]))/(MAX(tblRestock[listing_count])-MIN(tblRestock[listing_count]))</f>
        <v>0.2</v>
      </c>
      <c r="M31">
        <f>$B$3*tblRestock[[#This Row],[Disc_N]]+$B$4*tblRestock[[#This Row],[Price_N]]+$B$5*tblRestock[[#This Row],[Vis_N]]</f>
        <v>0.25680575539568345</v>
      </c>
      <c r="N31">
        <f t="shared" si="0"/>
        <v>31</v>
      </c>
    </row>
    <row r="32" spans="1:14">
      <c r="A32">
        <v>551</v>
      </c>
      <c r="B32" t="s">
        <v>1591</v>
      </c>
      <c r="C32" t="s">
        <v>1575</v>
      </c>
      <c r="D32">
        <v>22</v>
      </c>
      <c r="E32">
        <v>19</v>
      </c>
      <c r="F32">
        <v>13</v>
      </c>
      <c r="G32">
        <v>2</v>
      </c>
      <c r="H32">
        <v>2</v>
      </c>
      <c r="I32">
        <v>1000</v>
      </c>
      <c r="J32">
        <f>(tblRestock[[#This Row],[discount_percent]]-MIN(tblRestock[discount_percent]))/(MAX(tblRestock[discount_percent])-MIN(tblRestock[discount_percent]))</f>
        <v>0.26</v>
      </c>
      <c r="K32">
        <f>(tblRestock[[#This Row],[selling_price]]-MIN(tblRestock[selling_price]))/(MAX(tblRestock[selling_price])-MIN(tblRestock[selling_price]))</f>
        <v>1.7985611510791366E-2</v>
      </c>
      <c r="L32">
        <f>(tblRestock[[#This Row],[listing_count]]-MIN(tblRestock[listing_count]))/(MAX(tblRestock[listing_count])-MIN(tblRestock[listing_count]))</f>
        <v>0.2</v>
      </c>
      <c r="M32">
        <f>$B$3*tblRestock[[#This Row],[Disc_N]]+$B$4*tblRestock[[#This Row],[Price_N]]+$B$5*tblRestock[[#This Row],[Vis_N]]</f>
        <v>0.16939568345323741</v>
      </c>
      <c r="N32">
        <f t="shared" si="0"/>
        <v>70</v>
      </c>
    </row>
    <row r="33" spans="1:14">
      <c r="A33">
        <v>2731</v>
      </c>
      <c r="B33" t="s">
        <v>1592</v>
      </c>
      <c r="C33" t="s">
        <v>14</v>
      </c>
      <c r="D33">
        <v>25</v>
      </c>
      <c r="E33">
        <v>22</v>
      </c>
      <c r="F33">
        <v>12</v>
      </c>
      <c r="G33">
        <v>1</v>
      </c>
      <c r="H33">
        <v>1</v>
      </c>
      <c r="I33">
        <v>150</v>
      </c>
      <c r="J33">
        <f>(tblRestock[[#This Row],[discount_percent]]-MIN(tblRestock[discount_percent]))/(MAX(tblRestock[discount_percent])-MIN(tblRestock[discount_percent]))</f>
        <v>0.24</v>
      </c>
      <c r="K33">
        <f>(tblRestock[[#This Row],[selling_price]]-MIN(tblRestock[selling_price]))/(MAX(tblRestock[selling_price])-MIN(tblRestock[selling_price]))</f>
        <v>2.3381294964028777E-2</v>
      </c>
      <c r="L33">
        <f>(tblRestock[[#This Row],[listing_count]]-MIN(tblRestock[listing_count]))/(MAX(tblRestock[listing_count])-MIN(tblRestock[listing_count]))</f>
        <v>0</v>
      </c>
      <c r="M33">
        <f>$B$3*tblRestock[[#This Row],[Disc_N]]+$B$4*tblRestock[[#This Row],[Price_N]]+$B$5*tblRestock[[#This Row],[Vis_N]]</f>
        <v>0.10301438848920863</v>
      </c>
      <c r="N33">
        <f t="shared" si="0"/>
        <v>139</v>
      </c>
    </row>
    <row r="34" spans="1:14">
      <c r="A34">
        <v>593</v>
      </c>
      <c r="B34" t="s">
        <v>1593</v>
      </c>
      <c r="C34" t="s">
        <v>1575</v>
      </c>
      <c r="D34">
        <v>109</v>
      </c>
      <c r="E34">
        <v>97</v>
      </c>
      <c r="F34">
        <v>11</v>
      </c>
      <c r="G34">
        <v>2</v>
      </c>
      <c r="H34">
        <v>2</v>
      </c>
      <c r="I34">
        <v>80</v>
      </c>
      <c r="J34">
        <f>(tblRestock[[#This Row],[discount_percent]]-MIN(tblRestock[discount_percent]))/(MAX(tblRestock[discount_percent])-MIN(tblRestock[discount_percent]))</f>
        <v>0.22</v>
      </c>
      <c r="K34">
        <f>(tblRestock[[#This Row],[selling_price]]-MIN(tblRestock[selling_price]))/(MAX(tblRestock[selling_price])-MIN(tblRestock[selling_price]))</f>
        <v>0.15827338129496402</v>
      </c>
      <c r="L34">
        <f>(tblRestock[[#This Row],[listing_count]]-MIN(tblRestock[listing_count]))/(MAX(tblRestock[listing_count])-MIN(tblRestock[listing_count]))</f>
        <v>0.2</v>
      </c>
      <c r="M34">
        <f>$B$3*tblRestock[[#This Row],[Disc_N]]+$B$4*tblRestock[[#This Row],[Price_N]]+$B$5*tblRestock[[#This Row],[Vis_N]]</f>
        <v>0.19548201438848922</v>
      </c>
      <c r="N34">
        <f t="shared" si="0"/>
        <v>59</v>
      </c>
    </row>
    <row r="35" spans="1:14">
      <c r="A35">
        <v>1247</v>
      </c>
      <c r="B35" t="s">
        <v>1594</v>
      </c>
      <c r="C35" t="s">
        <v>1569</v>
      </c>
      <c r="D35">
        <v>99</v>
      </c>
      <c r="E35">
        <v>88</v>
      </c>
      <c r="F35">
        <v>11</v>
      </c>
      <c r="G35">
        <v>2</v>
      </c>
      <c r="H35">
        <v>2</v>
      </c>
      <c r="I35">
        <v>162</v>
      </c>
      <c r="J35">
        <f>(tblRestock[[#This Row],[discount_percent]]-MIN(tblRestock[discount_percent]))/(MAX(tblRestock[discount_percent])-MIN(tblRestock[discount_percent]))</f>
        <v>0.22</v>
      </c>
      <c r="K35">
        <f>(tblRestock[[#This Row],[selling_price]]-MIN(tblRestock[selling_price]))/(MAX(tblRestock[selling_price])-MIN(tblRestock[selling_price]))</f>
        <v>0.1420863309352518</v>
      </c>
      <c r="L35">
        <f>(tblRestock[[#This Row],[listing_count]]-MIN(tblRestock[listing_count]))/(MAX(tblRestock[listing_count])-MIN(tblRestock[listing_count]))</f>
        <v>0.2</v>
      </c>
      <c r="M35">
        <f>$B$3*tblRestock[[#This Row],[Disc_N]]+$B$4*tblRestock[[#This Row],[Price_N]]+$B$5*tblRestock[[#This Row],[Vis_N]]</f>
        <v>0.19062589928057555</v>
      </c>
      <c r="N35">
        <f t="shared" si="0"/>
        <v>61</v>
      </c>
    </row>
    <row r="36" spans="1:14">
      <c r="A36">
        <v>3723</v>
      </c>
      <c r="B36" t="s">
        <v>1595</v>
      </c>
      <c r="C36" t="s">
        <v>21</v>
      </c>
      <c r="D36">
        <v>54</v>
      </c>
      <c r="E36">
        <v>48</v>
      </c>
      <c r="F36">
        <v>11</v>
      </c>
      <c r="G36">
        <v>1</v>
      </c>
      <c r="H36">
        <v>1</v>
      </c>
      <c r="I36">
        <v>5</v>
      </c>
      <c r="J36">
        <f>(tblRestock[[#This Row],[discount_percent]]-MIN(tblRestock[discount_percent]))/(MAX(tblRestock[discount_percent])-MIN(tblRestock[discount_percent]))</f>
        <v>0.22</v>
      </c>
      <c r="K36">
        <f>(tblRestock[[#This Row],[selling_price]]-MIN(tblRestock[selling_price]))/(MAX(tblRestock[selling_price])-MIN(tblRestock[selling_price]))</f>
        <v>7.0143884892086325E-2</v>
      </c>
      <c r="L36">
        <f>(tblRestock[[#This Row],[listing_count]]-MIN(tblRestock[listing_count]))/(MAX(tblRestock[listing_count])-MIN(tblRestock[listing_count]))</f>
        <v>0</v>
      </c>
      <c r="M36">
        <f>$B$3*tblRestock[[#This Row],[Disc_N]]+$B$4*tblRestock[[#This Row],[Price_N]]+$B$5*tblRestock[[#This Row],[Vis_N]]</f>
        <v>0.10904316546762591</v>
      </c>
      <c r="N36">
        <f t="shared" si="0"/>
        <v>133</v>
      </c>
    </row>
    <row r="37" spans="1:14">
      <c r="A37">
        <v>574</v>
      </c>
      <c r="B37" t="s">
        <v>1596</v>
      </c>
      <c r="C37" t="s">
        <v>1575</v>
      </c>
      <c r="D37">
        <v>310</v>
      </c>
      <c r="E37">
        <v>279</v>
      </c>
      <c r="F37">
        <v>10</v>
      </c>
      <c r="G37">
        <v>2</v>
      </c>
      <c r="H37">
        <v>2</v>
      </c>
      <c r="I37">
        <v>500</v>
      </c>
      <c r="J37">
        <f>(tblRestock[[#This Row],[discount_percent]]-MIN(tblRestock[discount_percent]))/(MAX(tblRestock[discount_percent])-MIN(tblRestock[discount_percent]))</f>
        <v>0.2</v>
      </c>
      <c r="K37">
        <f>(tblRestock[[#This Row],[selling_price]]-MIN(tblRestock[selling_price]))/(MAX(tblRestock[selling_price])-MIN(tblRestock[selling_price]))</f>
        <v>0.48561151079136688</v>
      </c>
      <c r="L37">
        <f>(tblRestock[[#This Row],[listing_count]]-MIN(tblRestock[listing_count]))/(MAX(tblRestock[listing_count])-MIN(tblRestock[listing_count]))</f>
        <v>0.2</v>
      </c>
      <c r="M37">
        <f>$B$3*tblRestock[[#This Row],[Disc_N]]+$B$4*tblRestock[[#This Row],[Price_N]]+$B$5*tblRestock[[#This Row],[Vis_N]]</f>
        <v>0.28568345323741007</v>
      </c>
      <c r="N37">
        <f t="shared" si="0"/>
        <v>22</v>
      </c>
    </row>
    <row r="38" spans="1:14">
      <c r="A38">
        <v>1745</v>
      </c>
      <c r="B38" t="s">
        <v>1597</v>
      </c>
      <c r="C38" t="s">
        <v>1577</v>
      </c>
      <c r="D38">
        <v>265</v>
      </c>
      <c r="E38">
        <v>236</v>
      </c>
      <c r="F38">
        <v>10</v>
      </c>
      <c r="G38">
        <v>3</v>
      </c>
      <c r="H38">
        <v>3</v>
      </c>
      <c r="I38">
        <v>575</v>
      </c>
      <c r="J38">
        <f>(tblRestock[[#This Row],[discount_percent]]-MIN(tblRestock[discount_percent]))/(MAX(tblRestock[discount_percent])-MIN(tblRestock[discount_percent]))</f>
        <v>0.2</v>
      </c>
      <c r="K38">
        <f>(tblRestock[[#This Row],[selling_price]]-MIN(tblRestock[selling_price]))/(MAX(tblRestock[selling_price])-MIN(tblRestock[selling_price]))</f>
        <v>0.40827338129496404</v>
      </c>
      <c r="L38">
        <f>(tblRestock[[#This Row],[listing_count]]-MIN(tblRestock[listing_count]))/(MAX(tblRestock[listing_count])-MIN(tblRestock[listing_count]))</f>
        <v>0.4</v>
      </c>
      <c r="M38">
        <f>$B$3*tblRestock[[#This Row],[Disc_N]]+$B$4*tblRestock[[#This Row],[Price_N]]+$B$5*tblRestock[[#This Row],[Vis_N]]</f>
        <v>0.32248201438848922</v>
      </c>
      <c r="N38">
        <f t="shared" si="0"/>
        <v>14</v>
      </c>
    </row>
    <row r="39" spans="1:14">
      <c r="A39">
        <v>3634</v>
      </c>
      <c r="B39" t="s">
        <v>1598</v>
      </c>
      <c r="C39" t="s">
        <v>27</v>
      </c>
      <c r="D39">
        <v>250</v>
      </c>
      <c r="E39">
        <v>225</v>
      </c>
      <c r="F39">
        <v>10</v>
      </c>
      <c r="G39">
        <v>1</v>
      </c>
      <c r="H39">
        <v>1</v>
      </c>
      <c r="I39">
        <v>100</v>
      </c>
      <c r="J39">
        <f>(tblRestock[[#This Row],[discount_percent]]-MIN(tblRestock[discount_percent]))/(MAX(tblRestock[discount_percent])-MIN(tblRestock[discount_percent]))</f>
        <v>0.2</v>
      </c>
      <c r="K39">
        <f>(tblRestock[[#This Row],[selling_price]]-MIN(tblRestock[selling_price]))/(MAX(tblRestock[selling_price])-MIN(tblRestock[selling_price]))</f>
        <v>0.38848920863309355</v>
      </c>
      <c r="L39">
        <f>(tblRestock[[#This Row],[listing_count]]-MIN(tblRestock[listing_count]))/(MAX(tblRestock[listing_count])-MIN(tblRestock[listing_count]))</f>
        <v>0</v>
      </c>
      <c r="M39">
        <f>$B$3*tblRestock[[#This Row],[Disc_N]]+$B$4*tblRestock[[#This Row],[Price_N]]+$B$5*tblRestock[[#This Row],[Vis_N]]</f>
        <v>0.19654676258992809</v>
      </c>
      <c r="N39">
        <f t="shared" si="0"/>
        <v>58</v>
      </c>
    </row>
    <row r="40" spans="1:14">
      <c r="A40">
        <v>3082</v>
      </c>
      <c r="B40" t="s">
        <v>143</v>
      </c>
      <c r="C40" t="s">
        <v>1586</v>
      </c>
      <c r="D40">
        <v>90</v>
      </c>
      <c r="E40">
        <v>81</v>
      </c>
      <c r="F40">
        <v>10</v>
      </c>
      <c r="G40">
        <v>2</v>
      </c>
      <c r="H40">
        <v>2</v>
      </c>
      <c r="I40">
        <v>150</v>
      </c>
      <c r="J40">
        <f>(tblRestock[[#This Row],[discount_percent]]-MIN(tblRestock[discount_percent]))/(MAX(tblRestock[discount_percent])-MIN(tblRestock[discount_percent]))</f>
        <v>0.2</v>
      </c>
      <c r="K40">
        <f>(tblRestock[[#This Row],[selling_price]]-MIN(tblRestock[selling_price]))/(MAX(tblRestock[selling_price])-MIN(tblRestock[selling_price]))</f>
        <v>0.12949640287769784</v>
      </c>
      <c r="L40">
        <f>(tblRestock[[#This Row],[listing_count]]-MIN(tblRestock[listing_count]))/(MAX(tblRestock[listing_count])-MIN(tblRestock[listing_count]))</f>
        <v>0.2</v>
      </c>
      <c r="M40">
        <f>$B$3*tblRestock[[#This Row],[Disc_N]]+$B$4*tblRestock[[#This Row],[Price_N]]+$B$5*tblRestock[[#This Row],[Vis_N]]</f>
        <v>0.17884892086330936</v>
      </c>
      <c r="N40">
        <f t="shared" si="0"/>
        <v>68</v>
      </c>
    </row>
    <row r="41" spans="1:14">
      <c r="A41">
        <v>586</v>
      </c>
      <c r="B41" t="s">
        <v>112</v>
      </c>
      <c r="C41" t="s">
        <v>1575</v>
      </c>
      <c r="D41">
        <v>70</v>
      </c>
      <c r="E41">
        <v>63</v>
      </c>
      <c r="F41">
        <v>10</v>
      </c>
      <c r="G41">
        <v>2</v>
      </c>
      <c r="H41">
        <v>2</v>
      </c>
      <c r="I41">
        <v>200</v>
      </c>
      <c r="J41">
        <f>(tblRestock[[#This Row],[discount_percent]]-MIN(tblRestock[discount_percent]))/(MAX(tblRestock[discount_percent])-MIN(tblRestock[discount_percent]))</f>
        <v>0.2</v>
      </c>
      <c r="K41">
        <f>(tblRestock[[#This Row],[selling_price]]-MIN(tblRestock[selling_price]))/(MAX(tblRestock[selling_price])-MIN(tblRestock[selling_price]))</f>
        <v>9.7122302158273388E-2</v>
      </c>
      <c r="L41">
        <f>(tblRestock[[#This Row],[listing_count]]-MIN(tblRestock[listing_count]))/(MAX(tblRestock[listing_count])-MIN(tblRestock[listing_count]))</f>
        <v>0.2</v>
      </c>
      <c r="M41">
        <f>$B$3*tblRestock[[#This Row],[Disc_N]]+$B$4*tblRestock[[#This Row],[Price_N]]+$B$5*tblRestock[[#This Row],[Vis_N]]</f>
        <v>0.16913669064748205</v>
      </c>
      <c r="N41">
        <f t="shared" si="0"/>
        <v>71</v>
      </c>
    </row>
    <row r="42" spans="1:14">
      <c r="A42">
        <v>3629</v>
      </c>
      <c r="B42" t="s">
        <v>1599</v>
      </c>
      <c r="C42" t="s">
        <v>27</v>
      </c>
      <c r="D42">
        <v>69</v>
      </c>
      <c r="E42">
        <v>62</v>
      </c>
      <c r="F42">
        <v>10</v>
      </c>
      <c r="G42">
        <v>1</v>
      </c>
      <c r="H42">
        <v>1</v>
      </c>
      <c r="I42">
        <v>500</v>
      </c>
      <c r="J42">
        <f>(tblRestock[[#This Row],[discount_percent]]-MIN(tblRestock[discount_percent]))/(MAX(tblRestock[discount_percent])-MIN(tblRestock[discount_percent]))</f>
        <v>0.2</v>
      </c>
      <c r="K42">
        <f>(tblRestock[[#This Row],[selling_price]]-MIN(tblRestock[selling_price]))/(MAX(tblRestock[selling_price])-MIN(tblRestock[selling_price]))</f>
        <v>9.5323741007194249E-2</v>
      </c>
      <c r="L42">
        <f>(tblRestock[[#This Row],[listing_count]]-MIN(tblRestock[listing_count]))/(MAX(tblRestock[listing_count])-MIN(tblRestock[listing_count]))</f>
        <v>0</v>
      </c>
      <c r="M42">
        <f>$B$3*tblRestock[[#This Row],[Disc_N]]+$B$4*tblRestock[[#This Row],[Price_N]]+$B$5*tblRestock[[#This Row],[Vis_N]]</f>
        <v>0.10859712230215829</v>
      </c>
      <c r="N42">
        <f t="shared" si="0"/>
        <v>134</v>
      </c>
    </row>
    <row r="43" spans="1:14">
      <c r="A43">
        <v>3093</v>
      </c>
      <c r="B43" t="s">
        <v>1600</v>
      </c>
      <c r="C43" t="s">
        <v>1586</v>
      </c>
      <c r="D43">
        <v>67</v>
      </c>
      <c r="E43">
        <v>60</v>
      </c>
      <c r="F43">
        <v>10</v>
      </c>
      <c r="G43">
        <v>2</v>
      </c>
      <c r="H43">
        <v>2</v>
      </c>
      <c r="I43">
        <v>100</v>
      </c>
      <c r="J43">
        <f>(tblRestock[[#This Row],[discount_percent]]-MIN(tblRestock[discount_percent]))/(MAX(tblRestock[discount_percent])-MIN(tblRestock[discount_percent]))</f>
        <v>0.2</v>
      </c>
      <c r="K43">
        <f>(tblRestock[[#This Row],[selling_price]]-MIN(tblRestock[selling_price]))/(MAX(tblRestock[selling_price])-MIN(tblRestock[selling_price]))</f>
        <v>9.172661870503597E-2</v>
      </c>
      <c r="L43">
        <f>(tblRestock[[#This Row],[listing_count]]-MIN(tblRestock[listing_count]))/(MAX(tblRestock[listing_count])-MIN(tblRestock[listing_count]))</f>
        <v>0.2</v>
      </c>
      <c r="M43">
        <f>$B$3*tblRestock[[#This Row],[Disc_N]]+$B$4*tblRestock[[#This Row],[Price_N]]+$B$5*tblRestock[[#This Row],[Vis_N]]</f>
        <v>0.16751798561151082</v>
      </c>
      <c r="N43">
        <f t="shared" si="0"/>
        <v>76</v>
      </c>
    </row>
    <row r="44" spans="1:14">
      <c r="A44">
        <v>591</v>
      </c>
      <c r="B44" t="s">
        <v>1601</v>
      </c>
      <c r="C44" t="s">
        <v>1575</v>
      </c>
      <c r="D44">
        <v>67</v>
      </c>
      <c r="E44">
        <v>60</v>
      </c>
      <c r="F44">
        <v>10</v>
      </c>
      <c r="G44">
        <v>2</v>
      </c>
      <c r="H44">
        <v>2</v>
      </c>
      <c r="I44">
        <v>200</v>
      </c>
      <c r="J44">
        <f>(tblRestock[[#This Row],[discount_percent]]-MIN(tblRestock[discount_percent]))/(MAX(tblRestock[discount_percent])-MIN(tblRestock[discount_percent]))</f>
        <v>0.2</v>
      </c>
      <c r="K44">
        <f>(tblRestock[[#This Row],[selling_price]]-MIN(tblRestock[selling_price]))/(MAX(tblRestock[selling_price])-MIN(tblRestock[selling_price]))</f>
        <v>9.172661870503597E-2</v>
      </c>
      <c r="L44">
        <f>(tblRestock[[#This Row],[listing_count]]-MIN(tblRestock[listing_count]))/(MAX(tblRestock[listing_count])-MIN(tblRestock[listing_count]))</f>
        <v>0.2</v>
      </c>
      <c r="M44">
        <f>$B$3*tblRestock[[#This Row],[Disc_N]]+$B$4*tblRestock[[#This Row],[Price_N]]+$B$5*tblRestock[[#This Row],[Vis_N]]</f>
        <v>0.16751798561151082</v>
      </c>
      <c r="N44">
        <f t="shared" si="0"/>
        <v>75</v>
      </c>
    </row>
    <row r="45" spans="1:14">
      <c r="A45">
        <v>584</v>
      </c>
      <c r="B45" t="s">
        <v>1602</v>
      </c>
      <c r="C45" t="s">
        <v>1575</v>
      </c>
      <c r="D45">
        <v>60</v>
      </c>
      <c r="E45">
        <v>54</v>
      </c>
      <c r="F45">
        <v>10</v>
      </c>
      <c r="G45">
        <v>2</v>
      </c>
      <c r="H45">
        <v>2</v>
      </c>
      <c r="I45">
        <v>500</v>
      </c>
      <c r="J45">
        <f>(tblRestock[[#This Row],[discount_percent]]-MIN(tblRestock[discount_percent]))/(MAX(tblRestock[discount_percent])-MIN(tblRestock[discount_percent]))</f>
        <v>0.2</v>
      </c>
      <c r="K45">
        <f>(tblRestock[[#This Row],[selling_price]]-MIN(tblRestock[selling_price]))/(MAX(tblRestock[selling_price])-MIN(tblRestock[selling_price]))</f>
        <v>8.0935251798561147E-2</v>
      </c>
      <c r="L45">
        <f>(tblRestock[[#This Row],[listing_count]]-MIN(tblRestock[listing_count]))/(MAX(tblRestock[listing_count])-MIN(tblRestock[listing_count]))</f>
        <v>0.2</v>
      </c>
      <c r="M45">
        <f>$B$3*tblRestock[[#This Row],[Disc_N]]+$B$4*tblRestock[[#This Row],[Price_N]]+$B$5*tblRestock[[#This Row],[Vis_N]]</f>
        <v>0.16428057553956837</v>
      </c>
      <c r="N45">
        <f t="shared" si="0"/>
        <v>79</v>
      </c>
    </row>
    <row r="46" spans="1:14">
      <c r="A46">
        <v>2750</v>
      </c>
      <c r="B46" t="s">
        <v>1603</v>
      </c>
      <c r="C46" t="s">
        <v>14</v>
      </c>
      <c r="D46">
        <v>60</v>
      </c>
      <c r="E46">
        <v>54</v>
      </c>
      <c r="F46">
        <v>10</v>
      </c>
      <c r="G46">
        <v>1</v>
      </c>
      <c r="H46">
        <v>1</v>
      </c>
      <c r="I46">
        <v>200</v>
      </c>
      <c r="J46">
        <f>(tblRestock[[#This Row],[discount_percent]]-MIN(tblRestock[discount_percent]))/(MAX(tblRestock[discount_percent])-MIN(tblRestock[discount_percent]))</f>
        <v>0.2</v>
      </c>
      <c r="K46">
        <f>(tblRestock[[#This Row],[selling_price]]-MIN(tblRestock[selling_price]))/(MAX(tblRestock[selling_price])-MIN(tblRestock[selling_price]))</f>
        <v>8.0935251798561147E-2</v>
      </c>
      <c r="L46">
        <f>(tblRestock[[#This Row],[listing_count]]-MIN(tblRestock[listing_count]))/(MAX(tblRestock[listing_count])-MIN(tblRestock[listing_count]))</f>
        <v>0</v>
      </c>
      <c r="M46">
        <f>$B$3*tblRestock[[#This Row],[Disc_N]]+$B$4*tblRestock[[#This Row],[Price_N]]+$B$5*tblRestock[[#This Row],[Vis_N]]</f>
        <v>0.10428057553956836</v>
      </c>
      <c r="N46">
        <f t="shared" si="0"/>
        <v>136</v>
      </c>
    </row>
    <row r="47" spans="1:14">
      <c r="A47">
        <v>575</v>
      </c>
      <c r="B47" t="s">
        <v>1604</v>
      </c>
      <c r="C47" t="s">
        <v>1575</v>
      </c>
      <c r="D47">
        <v>60</v>
      </c>
      <c r="E47">
        <v>54</v>
      </c>
      <c r="F47">
        <v>10</v>
      </c>
      <c r="G47">
        <v>2</v>
      </c>
      <c r="H47">
        <v>2</v>
      </c>
      <c r="I47">
        <v>100</v>
      </c>
      <c r="J47">
        <f>(tblRestock[[#This Row],[discount_percent]]-MIN(tblRestock[discount_percent]))/(MAX(tblRestock[discount_percent])-MIN(tblRestock[discount_percent]))</f>
        <v>0.2</v>
      </c>
      <c r="K47">
        <f>(tblRestock[[#This Row],[selling_price]]-MIN(tblRestock[selling_price]))/(MAX(tblRestock[selling_price])-MIN(tblRestock[selling_price]))</f>
        <v>8.0935251798561147E-2</v>
      </c>
      <c r="L47">
        <f>(tblRestock[[#This Row],[listing_count]]-MIN(tblRestock[listing_count]))/(MAX(tblRestock[listing_count])-MIN(tblRestock[listing_count]))</f>
        <v>0.2</v>
      </c>
      <c r="M47">
        <f>$B$3*tblRestock[[#This Row],[Disc_N]]+$B$4*tblRestock[[#This Row],[Price_N]]+$B$5*tblRestock[[#This Row],[Vis_N]]</f>
        <v>0.16428057553956837</v>
      </c>
      <c r="N47">
        <f t="shared" si="0"/>
        <v>78</v>
      </c>
    </row>
    <row r="48" spans="1:14">
      <c r="A48">
        <v>2737</v>
      </c>
      <c r="B48" t="s">
        <v>1605</v>
      </c>
      <c r="C48" t="s">
        <v>14</v>
      </c>
      <c r="D48">
        <v>25</v>
      </c>
      <c r="E48">
        <v>22.5</v>
      </c>
      <c r="F48">
        <v>10</v>
      </c>
      <c r="G48">
        <v>1</v>
      </c>
      <c r="H48">
        <v>1</v>
      </c>
      <c r="I48">
        <v>100</v>
      </c>
      <c r="J48">
        <f>(tblRestock[[#This Row],[discount_percent]]-MIN(tblRestock[discount_percent]))/(MAX(tblRestock[discount_percent])-MIN(tblRestock[discount_percent]))</f>
        <v>0.2</v>
      </c>
      <c r="K48">
        <f>(tblRestock[[#This Row],[selling_price]]-MIN(tblRestock[selling_price]))/(MAX(tblRestock[selling_price])-MIN(tblRestock[selling_price]))</f>
        <v>2.4280575539568347E-2</v>
      </c>
      <c r="L48">
        <f>(tblRestock[[#This Row],[listing_count]]-MIN(tblRestock[listing_count]))/(MAX(tblRestock[listing_count])-MIN(tblRestock[listing_count]))</f>
        <v>0</v>
      </c>
      <c r="M48">
        <f>$B$3*tblRestock[[#This Row],[Disc_N]]+$B$4*tblRestock[[#This Row],[Price_N]]+$B$5*tblRestock[[#This Row],[Vis_N]]</f>
        <v>8.7284172661870524E-2</v>
      </c>
      <c r="N48">
        <f t="shared" si="0"/>
        <v>160</v>
      </c>
    </row>
    <row r="49" spans="1:14">
      <c r="A49">
        <v>1749</v>
      </c>
      <c r="B49" t="s">
        <v>1606</v>
      </c>
      <c r="C49" t="s">
        <v>1577</v>
      </c>
      <c r="D49">
        <v>20</v>
      </c>
      <c r="E49">
        <v>18</v>
      </c>
      <c r="F49">
        <v>10</v>
      </c>
      <c r="G49">
        <v>3</v>
      </c>
      <c r="H49">
        <v>3</v>
      </c>
      <c r="I49">
        <v>100</v>
      </c>
      <c r="J49">
        <f>(tblRestock[[#This Row],[discount_percent]]-MIN(tblRestock[discount_percent]))/(MAX(tblRestock[discount_percent])-MIN(tblRestock[discount_percent]))</f>
        <v>0.2</v>
      </c>
      <c r="K49">
        <f>(tblRestock[[#This Row],[selling_price]]-MIN(tblRestock[selling_price]))/(MAX(tblRestock[selling_price])-MIN(tblRestock[selling_price]))</f>
        <v>1.618705035971223E-2</v>
      </c>
      <c r="L49">
        <f>(tblRestock[[#This Row],[listing_count]]-MIN(tblRestock[listing_count]))/(MAX(tblRestock[listing_count])-MIN(tblRestock[listing_count]))</f>
        <v>0.4</v>
      </c>
      <c r="M49">
        <f>$B$3*tblRestock[[#This Row],[Disc_N]]+$B$4*tblRestock[[#This Row],[Price_N]]+$B$5*tblRestock[[#This Row],[Vis_N]]</f>
        <v>0.20485611510791368</v>
      </c>
      <c r="N49">
        <f t="shared" si="0"/>
        <v>50</v>
      </c>
    </row>
    <row r="50" spans="1:14">
      <c r="A50">
        <v>1760</v>
      </c>
      <c r="B50" t="s">
        <v>1607</v>
      </c>
      <c r="C50" t="s">
        <v>1577</v>
      </c>
      <c r="D50">
        <v>295</v>
      </c>
      <c r="E50">
        <v>266</v>
      </c>
      <c r="F50">
        <v>9</v>
      </c>
      <c r="G50">
        <v>3</v>
      </c>
      <c r="H50">
        <v>3</v>
      </c>
      <c r="I50">
        <v>350</v>
      </c>
      <c r="J50">
        <f>(tblRestock[[#This Row],[discount_percent]]-MIN(tblRestock[discount_percent]))/(MAX(tblRestock[discount_percent])-MIN(tblRestock[discount_percent]))</f>
        <v>0.18</v>
      </c>
      <c r="K50">
        <f>(tblRestock[[#This Row],[selling_price]]-MIN(tblRestock[selling_price]))/(MAX(tblRestock[selling_price])-MIN(tblRestock[selling_price]))</f>
        <v>0.46223021582733814</v>
      </c>
      <c r="L50">
        <f>(tblRestock[[#This Row],[listing_count]]-MIN(tblRestock[listing_count]))/(MAX(tblRestock[listing_count])-MIN(tblRestock[listing_count]))</f>
        <v>0.4</v>
      </c>
      <c r="M50">
        <f>$B$3*tblRestock[[#This Row],[Disc_N]]+$B$4*tblRestock[[#This Row],[Price_N]]+$B$5*tblRestock[[#This Row],[Vis_N]]</f>
        <v>0.3306690647482014</v>
      </c>
      <c r="N50">
        <f t="shared" si="0"/>
        <v>12</v>
      </c>
    </row>
    <row r="51" spans="1:14">
      <c r="A51">
        <v>546</v>
      </c>
      <c r="B51" t="s">
        <v>1608</v>
      </c>
      <c r="C51" t="s">
        <v>1575</v>
      </c>
      <c r="D51">
        <v>295</v>
      </c>
      <c r="E51">
        <v>266</v>
      </c>
      <c r="F51">
        <v>9</v>
      </c>
      <c r="G51">
        <v>2</v>
      </c>
      <c r="H51">
        <v>2</v>
      </c>
      <c r="I51">
        <v>5000</v>
      </c>
      <c r="J51">
        <f>(tblRestock[[#This Row],[discount_percent]]-MIN(tblRestock[discount_percent]))/(MAX(tblRestock[discount_percent])-MIN(tblRestock[discount_percent]))</f>
        <v>0.18</v>
      </c>
      <c r="K51">
        <f>(tblRestock[[#This Row],[selling_price]]-MIN(tblRestock[selling_price]))/(MAX(tblRestock[selling_price])-MIN(tblRestock[selling_price]))</f>
        <v>0.46223021582733814</v>
      </c>
      <c r="L51">
        <f>(tblRestock[[#This Row],[listing_count]]-MIN(tblRestock[listing_count]))/(MAX(tblRestock[listing_count])-MIN(tblRestock[listing_count]))</f>
        <v>0.2</v>
      </c>
      <c r="M51">
        <f>$B$3*tblRestock[[#This Row],[Disc_N]]+$B$4*tblRestock[[#This Row],[Price_N]]+$B$5*tblRestock[[#This Row],[Vis_N]]</f>
        <v>0.2706690647482014</v>
      </c>
      <c r="N51">
        <f t="shared" si="0"/>
        <v>28</v>
      </c>
    </row>
    <row r="52" spans="1:14">
      <c r="A52">
        <v>2600</v>
      </c>
      <c r="B52" t="s">
        <v>1609</v>
      </c>
      <c r="C52" t="s">
        <v>19</v>
      </c>
      <c r="D52">
        <v>275</v>
      </c>
      <c r="E52">
        <v>248</v>
      </c>
      <c r="F52">
        <v>9</v>
      </c>
      <c r="G52">
        <v>1</v>
      </c>
      <c r="H52">
        <v>1</v>
      </c>
      <c r="I52">
        <v>450</v>
      </c>
      <c r="J52">
        <f>(tblRestock[[#This Row],[discount_percent]]-MIN(tblRestock[discount_percent]))/(MAX(tblRestock[discount_percent])-MIN(tblRestock[discount_percent]))</f>
        <v>0.18</v>
      </c>
      <c r="K52">
        <f>(tblRestock[[#This Row],[selling_price]]-MIN(tblRestock[selling_price]))/(MAX(tblRestock[selling_price])-MIN(tblRestock[selling_price]))</f>
        <v>0.42985611510791366</v>
      </c>
      <c r="L52">
        <f>(tblRestock[[#This Row],[listing_count]]-MIN(tblRestock[listing_count]))/(MAX(tblRestock[listing_count])-MIN(tblRestock[listing_count]))</f>
        <v>0</v>
      </c>
      <c r="M52">
        <f>$B$3*tblRestock[[#This Row],[Disc_N]]+$B$4*tblRestock[[#This Row],[Price_N]]+$B$5*tblRestock[[#This Row],[Vis_N]]</f>
        <v>0.20095683453237406</v>
      </c>
      <c r="N52">
        <f t="shared" si="0"/>
        <v>55</v>
      </c>
    </row>
    <row r="53" spans="1:14">
      <c r="A53">
        <v>3630</v>
      </c>
      <c r="B53" t="s">
        <v>1610</v>
      </c>
      <c r="C53" t="s">
        <v>27</v>
      </c>
      <c r="D53">
        <v>235</v>
      </c>
      <c r="E53">
        <v>212</v>
      </c>
      <c r="F53">
        <v>9</v>
      </c>
      <c r="G53">
        <v>1</v>
      </c>
      <c r="H53">
        <v>1</v>
      </c>
      <c r="I53">
        <v>860</v>
      </c>
      <c r="J53">
        <f>(tblRestock[[#This Row],[discount_percent]]-MIN(tblRestock[discount_percent]))/(MAX(tblRestock[discount_percent])-MIN(tblRestock[discount_percent]))</f>
        <v>0.18</v>
      </c>
      <c r="K53">
        <f>(tblRestock[[#This Row],[selling_price]]-MIN(tblRestock[selling_price]))/(MAX(tblRestock[selling_price])-MIN(tblRestock[selling_price]))</f>
        <v>0.36510791366906475</v>
      </c>
      <c r="L53">
        <f>(tblRestock[[#This Row],[listing_count]]-MIN(tblRestock[listing_count]))/(MAX(tblRestock[listing_count])-MIN(tblRestock[listing_count]))</f>
        <v>0</v>
      </c>
      <c r="M53">
        <f>$B$3*tblRestock[[#This Row],[Disc_N]]+$B$4*tblRestock[[#This Row],[Price_N]]+$B$5*tblRestock[[#This Row],[Vis_N]]</f>
        <v>0.18153237410071943</v>
      </c>
      <c r="N53">
        <f t="shared" si="0"/>
        <v>67</v>
      </c>
    </row>
    <row r="54" spans="1:14">
      <c r="A54">
        <v>3081</v>
      </c>
      <c r="B54" t="s">
        <v>1611</v>
      </c>
      <c r="C54" t="s">
        <v>1586</v>
      </c>
      <c r="D54">
        <v>215</v>
      </c>
      <c r="E54">
        <v>194</v>
      </c>
      <c r="F54">
        <v>9</v>
      </c>
      <c r="G54">
        <v>2</v>
      </c>
      <c r="H54">
        <v>2</v>
      </c>
      <c r="I54">
        <v>400</v>
      </c>
      <c r="J54">
        <f>(tblRestock[[#This Row],[discount_percent]]-MIN(tblRestock[discount_percent]))/(MAX(tblRestock[discount_percent])-MIN(tblRestock[discount_percent]))</f>
        <v>0.18</v>
      </c>
      <c r="K54">
        <f>(tblRestock[[#This Row],[selling_price]]-MIN(tblRestock[selling_price]))/(MAX(tblRestock[selling_price])-MIN(tblRestock[selling_price]))</f>
        <v>0.33273381294964027</v>
      </c>
      <c r="L54">
        <f>(tblRestock[[#This Row],[listing_count]]-MIN(tblRestock[listing_count]))/(MAX(tblRestock[listing_count])-MIN(tblRestock[listing_count]))</f>
        <v>0.2</v>
      </c>
      <c r="M54">
        <f>$B$3*tblRestock[[#This Row],[Disc_N]]+$B$4*tblRestock[[#This Row],[Price_N]]+$B$5*tblRestock[[#This Row],[Vis_N]]</f>
        <v>0.23182014388489208</v>
      </c>
      <c r="N54">
        <f t="shared" si="0"/>
        <v>39</v>
      </c>
    </row>
    <row r="55" spans="1:14">
      <c r="A55">
        <v>3092</v>
      </c>
      <c r="B55" t="s">
        <v>1612</v>
      </c>
      <c r="C55" t="s">
        <v>1586</v>
      </c>
      <c r="D55">
        <v>145</v>
      </c>
      <c r="E55">
        <v>131</v>
      </c>
      <c r="F55">
        <v>9</v>
      </c>
      <c r="G55">
        <v>2</v>
      </c>
      <c r="H55">
        <v>2</v>
      </c>
      <c r="I55">
        <v>100</v>
      </c>
      <c r="J55">
        <f>(tblRestock[[#This Row],[discount_percent]]-MIN(tblRestock[discount_percent]))/(MAX(tblRestock[discount_percent])-MIN(tblRestock[discount_percent]))</f>
        <v>0.18</v>
      </c>
      <c r="K55">
        <f>(tblRestock[[#This Row],[selling_price]]-MIN(tblRestock[selling_price]))/(MAX(tblRestock[selling_price])-MIN(tblRestock[selling_price]))</f>
        <v>0.21942446043165467</v>
      </c>
      <c r="L55">
        <f>(tblRestock[[#This Row],[listing_count]]-MIN(tblRestock[listing_count]))/(MAX(tblRestock[listing_count])-MIN(tblRestock[listing_count]))</f>
        <v>0.2</v>
      </c>
      <c r="M55">
        <f>$B$3*tblRestock[[#This Row],[Disc_N]]+$B$4*tblRestock[[#This Row],[Price_N]]+$B$5*tblRestock[[#This Row],[Vis_N]]</f>
        <v>0.19782733812949638</v>
      </c>
      <c r="N55">
        <f t="shared" si="0"/>
        <v>57</v>
      </c>
    </row>
    <row r="56" spans="1:14">
      <c r="A56">
        <v>592</v>
      </c>
      <c r="B56" t="s">
        <v>1613</v>
      </c>
      <c r="C56" t="s">
        <v>1575</v>
      </c>
      <c r="D56">
        <v>125</v>
      </c>
      <c r="E56">
        <v>113</v>
      </c>
      <c r="F56">
        <v>9</v>
      </c>
      <c r="G56">
        <v>2</v>
      </c>
      <c r="H56">
        <v>2</v>
      </c>
      <c r="I56">
        <v>500</v>
      </c>
      <c r="J56">
        <f>(tblRestock[[#This Row],[discount_percent]]-MIN(tblRestock[discount_percent]))/(MAX(tblRestock[discount_percent])-MIN(tblRestock[discount_percent]))</f>
        <v>0.18</v>
      </c>
      <c r="K56">
        <f>(tblRestock[[#This Row],[selling_price]]-MIN(tblRestock[selling_price]))/(MAX(tblRestock[selling_price])-MIN(tblRestock[selling_price]))</f>
        <v>0.18705035971223022</v>
      </c>
      <c r="L56">
        <f>(tblRestock[[#This Row],[listing_count]]-MIN(tblRestock[listing_count]))/(MAX(tblRestock[listing_count])-MIN(tblRestock[listing_count]))</f>
        <v>0.2</v>
      </c>
      <c r="M56">
        <f>$B$3*tblRestock[[#This Row],[Disc_N]]+$B$4*tblRestock[[#This Row],[Price_N]]+$B$5*tblRestock[[#This Row],[Vis_N]]</f>
        <v>0.18811510791366906</v>
      </c>
      <c r="N56">
        <f t="shared" si="0"/>
        <v>62</v>
      </c>
    </row>
    <row r="57" spans="1:14">
      <c r="A57">
        <v>590</v>
      </c>
      <c r="B57" t="s">
        <v>1614</v>
      </c>
      <c r="C57" t="s">
        <v>1571</v>
      </c>
      <c r="D57">
        <v>91</v>
      </c>
      <c r="E57">
        <v>82</v>
      </c>
      <c r="F57">
        <v>9</v>
      </c>
      <c r="G57">
        <v>5</v>
      </c>
      <c r="H57">
        <v>5</v>
      </c>
      <c r="I57">
        <v>560</v>
      </c>
      <c r="J57">
        <f>(tblRestock[[#This Row],[discount_percent]]-MIN(tblRestock[discount_percent]))/(MAX(tblRestock[discount_percent])-MIN(tblRestock[discount_percent]))</f>
        <v>0.18</v>
      </c>
      <c r="K57">
        <f>(tblRestock[[#This Row],[selling_price]]-MIN(tblRestock[selling_price]))/(MAX(tblRestock[selling_price])-MIN(tblRestock[selling_price]))</f>
        <v>0.13129496402877697</v>
      </c>
      <c r="L57">
        <f>(tblRestock[[#This Row],[listing_count]]-MIN(tblRestock[listing_count]))/(MAX(tblRestock[listing_count])-MIN(tblRestock[listing_count]))</f>
        <v>0.8</v>
      </c>
      <c r="M57">
        <f>$B$3*tblRestock[[#This Row],[Disc_N]]+$B$4*tblRestock[[#This Row],[Price_N]]+$B$5*tblRestock[[#This Row],[Vis_N]]</f>
        <v>0.35138848920863308</v>
      </c>
      <c r="N57">
        <f t="shared" si="0"/>
        <v>11</v>
      </c>
    </row>
    <row r="58" spans="1:14">
      <c r="A58">
        <v>3091</v>
      </c>
      <c r="B58" t="s">
        <v>1615</v>
      </c>
      <c r="C58" t="s">
        <v>1586</v>
      </c>
      <c r="D58">
        <v>82</v>
      </c>
      <c r="E58">
        <v>74</v>
      </c>
      <c r="F58">
        <v>9</v>
      </c>
      <c r="G58">
        <v>2</v>
      </c>
      <c r="H58">
        <v>2</v>
      </c>
      <c r="I58">
        <v>27</v>
      </c>
      <c r="J58">
        <f>(tblRestock[[#This Row],[discount_percent]]-MIN(tblRestock[discount_percent]))/(MAX(tblRestock[discount_percent])-MIN(tblRestock[discount_percent]))</f>
        <v>0.18</v>
      </c>
      <c r="K58">
        <f>(tblRestock[[#This Row],[selling_price]]-MIN(tblRestock[selling_price]))/(MAX(tblRestock[selling_price])-MIN(tblRestock[selling_price]))</f>
        <v>0.11690647482014388</v>
      </c>
      <c r="L58">
        <f>(tblRestock[[#This Row],[listing_count]]-MIN(tblRestock[listing_count]))/(MAX(tblRestock[listing_count])-MIN(tblRestock[listing_count]))</f>
        <v>0.2</v>
      </c>
      <c r="M58">
        <f>$B$3*tblRestock[[#This Row],[Disc_N]]+$B$4*tblRestock[[#This Row],[Price_N]]+$B$5*tblRestock[[#This Row],[Vis_N]]</f>
        <v>0.16707194244604315</v>
      </c>
      <c r="N58">
        <f t="shared" si="0"/>
        <v>77</v>
      </c>
    </row>
    <row r="59" spans="1:14">
      <c r="A59">
        <v>569</v>
      </c>
      <c r="B59" t="s">
        <v>1616</v>
      </c>
      <c r="C59" t="s">
        <v>1575</v>
      </c>
      <c r="D59">
        <v>65</v>
      </c>
      <c r="E59">
        <v>59</v>
      </c>
      <c r="F59">
        <v>9</v>
      </c>
      <c r="G59">
        <v>2</v>
      </c>
      <c r="H59">
        <v>2</v>
      </c>
      <c r="I59">
        <v>100</v>
      </c>
      <c r="J59">
        <f>(tblRestock[[#This Row],[discount_percent]]-MIN(tblRestock[discount_percent]))/(MAX(tblRestock[discount_percent])-MIN(tblRestock[discount_percent]))</f>
        <v>0.18</v>
      </c>
      <c r="K59">
        <f>(tblRestock[[#This Row],[selling_price]]-MIN(tblRestock[selling_price]))/(MAX(tblRestock[selling_price])-MIN(tblRestock[selling_price]))</f>
        <v>8.9928057553956831E-2</v>
      </c>
      <c r="L59">
        <f>(tblRestock[[#This Row],[listing_count]]-MIN(tblRestock[listing_count]))/(MAX(tblRestock[listing_count])-MIN(tblRestock[listing_count]))</f>
        <v>0.2</v>
      </c>
      <c r="M59">
        <f>$B$3*tblRestock[[#This Row],[Disc_N]]+$B$4*tblRestock[[#This Row],[Price_N]]+$B$5*tblRestock[[#This Row],[Vis_N]]</f>
        <v>0.15897841726618706</v>
      </c>
      <c r="N59">
        <f t="shared" si="0"/>
        <v>85</v>
      </c>
    </row>
    <row r="60" spans="1:14">
      <c r="A60">
        <v>3625</v>
      </c>
      <c r="B60" t="s">
        <v>1617</v>
      </c>
      <c r="C60" t="s">
        <v>27</v>
      </c>
      <c r="D60">
        <v>65</v>
      </c>
      <c r="E60">
        <v>59</v>
      </c>
      <c r="F60">
        <v>9</v>
      </c>
      <c r="G60">
        <v>1</v>
      </c>
      <c r="H60">
        <v>1</v>
      </c>
      <c r="I60">
        <v>116</v>
      </c>
      <c r="J60">
        <f>(tblRestock[[#This Row],[discount_percent]]-MIN(tblRestock[discount_percent]))/(MAX(tblRestock[discount_percent])-MIN(tblRestock[discount_percent]))</f>
        <v>0.18</v>
      </c>
      <c r="K60">
        <f>(tblRestock[[#This Row],[selling_price]]-MIN(tblRestock[selling_price]))/(MAX(tblRestock[selling_price])-MIN(tblRestock[selling_price]))</f>
        <v>8.9928057553956831E-2</v>
      </c>
      <c r="L60">
        <f>(tblRestock[[#This Row],[listing_count]]-MIN(tblRestock[listing_count]))/(MAX(tblRestock[listing_count])-MIN(tblRestock[listing_count]))</f>
        <v>0</v>
      </c>
      <c r="M60">
        <f>$B$3*tblRestock[[#This Row],[Disc_N]]+$B$4*tblRestock[[#This Row],[Price_N]]+$B$5*tblRestock[[#This Row],[Vis_N]]</f>
        <v>9.8978417266187044E-2</v>
      </c>
      <c r="N60">
        <f t="shared" si="0"/>
        <v>143</v>
      </c>
    </row>
    <row r="61" spans="1:14">
      <c r="A61">
        <v>570</v>
      </c>
      <c r="B61" t="s">
        <v>1618</v>
      </c>
      <c r="C61" t="s">
        <v>1575</v>
      </c>
      <c r="D61">
        <v>55</v>
      </c>
      <c r="E61">
        <v>50</v>
      </c>
      <c r="F61">
        <v>9</v>
      </c>
      <c r="G61">
        <v>2</v>
      </c>
      <c r="H61">
        <v>2</v>
      </c>
      <c r="I61">
        <v>500</v>
      </c>
      <c r="J61">
        <f>(tblRestock[[#This Row],[discount_percent]]-MIN(tblRestock[discount_percent]))/(MAX(tblRestock[discount_percent])-MIN(tblRestock[discount_percent]))</f>
        <v>0.18</v>
      </c>
      <c r="K61">
        <f>(tblRestock[[#This Row],[selling_price]]-MIN(tblRestock[selling_price]))/(MAX(tblRestock[selling_price])-MIN(tblRestock[selling_price]))</f>
        <v>7.3741007194244604E-2</v>
      </c>
      <c r="L61">
        <f>(tblRestock[[#This Row],[listing_count]]-MIN(tblRestock[listing_count]))/(MAX(tblRestock[listing_count])-MIN(tblRestock[listing_count]))</f>
        <v>0.2</v>
      </c>
      <c r="M61">
        <f>$B$3*tblRestock[[#This Row],[Disc_N]]+$B$4*tblRestock[[#This Row],[Price_N]]+$B$5*tblRestock[[#This Row],[Vis_N]]</f>
        <v>0.15412230215827338</v>
      </c>
      <c r="N61">
        <f t="shared" si="0"/>
        <v>90</v>
      </c>
    </row>
    <row r="62" spans="1:14">
      <c r="A62">
        <v>3086</v>
      </c>
      <c r="B62" t="s">
        <v>1619</v>
      </c>
      <c r="C62" t="s">
        <v>1620</v>
      </c>
      <c r="D62">
        <v>32</v>
      </c>
      <c r="E62">
        <v>29</v>
      </c>
      <c r="F62">
        <v>9</v>
      </c>
      <c r="G62">
        <v>3</v>
      </c>
      <c r="H62">
        <v>3</v>
      </c>
      <c r="I62">
        <v>406</v>
      </c>
      <c r="J62">
        <f>(tblRestock[[#This Row],[discount_percent]]-MIN(tblRestock[discount_percent]))/(MAX(tblRestock[discount_percent])-MIN(tblRestock[discount_percent]))</f>
        <v>0.18</v>
      </c>
      <c r="K62">
        <f>(tblRestock[[#This Row],[selling_price]]-MIN(tblRestock[selling_price]))/(MAX(tblRestock[selling_price])-MIN(tblRestock[selling_price]))</f>
        <v>3.5971223021582732E-2</v>
      </c>
      <c r="L62">
        <f>(tblRestock[[#This Row],[listing_count]]-MIN(tblRestock[listing_count]))/(MAX(tblRestock[listing_count])-MIN(tblRestock[listing_count]))</f>
        <v>0.4</v>
      </c>
      <c r="M62">
        <f>$B$3*tblRestock[[#This Row],[Disc_N]]+$B$4*tblRestock[[#This Row],[Price_N]]+$B$5*tblRestock[[#This Row],[Vis_N]]</f>
        <v>0.20279136690647481</v>
      </c>
      <c r="N62">
        <f t="shared" si="0"/>
        <v>51</v>
      </c>
    </row>
    <row r="63" spans="1:14">
      <c r="A63">
        <v>1740</v>
      </c>
      <c r="B63" t="s">
        <v>1621</v>
      </c>
      <c r="C63" t="s">
        <v>1577</v>
      </c>
      <c r="D63">
        <v>31</v>
      </c>
      <c r="E63">
        <v>28</v>
      </c>
      <c r="F63">
        <v>9</v>
      </c>
      <c r="G63">
        <v>3</v>
      </c>
      <c r="H63">
        <v>3</v>
      </c>
      <c r="I63">
        <v>70</v>
      </c>
      <c r="J63">
        <f>(tblRestock[[#This Row],[discount_percent]]-MIN(tblRestock[discount_percent]))/(MAX(tblRestock[discount_percent])-MIN(tblRestock[discount_percent]))</f>
        <v>0.18</v>
      </c>
      <c r="K63">
        <f>(tblRestock[[#This Row],[selling_price]]-MIN(tblRestock[selling_price]))/(MAX(tblRestock[selling_price])-MIN(tblRestock[selling_price]))</f>
        <v>3.41726618705036E-2</v>
      </c>
      <c r="L63">
        <f>(tblRestock[[#This Row],[listing_count]]-MIN(tblRestock[listing_count]))/(MAX(tblRestock[listing_count])-MIN(tblRestock[listing_count]))</f>
        <v>0.4</v>
      </c>
      <c r="M63">
        <f>$B$3*tblRestock[[#This Row],[Disc_N]]+$B$4*tblRestock[[#This Row],[Price_N]]+$B$5*tblRestock[[#This Row],[Vis_N]]</f>
        <v>0.20225179856115105</v>
      </c>
      <c r="N63">
        <f t="shared" si="0"/>
        <v>53</v>
      </c>
    </row>
    <row r="64" spans="1:14">
      <c r="A64">
        <v>1746</v>
      </c>
      <c r="B64" t="s">
        <v>1622</v>
      </c>
      <c r="C64" t="s">
        <v>1577</v>
      </c>
      <c r="D64">
        <v>31</v>
      </c>
      <c r="E64">
        <v>28</v>
      </c>
      <c r="F64">
        <v>9</v>
      </c>
      <c r="G64">
        <v>3</v>
      </c>
      <c r="H64">
        <v>3</v>
      </c>
      <c r="I64">
        <v>70</v>
      </c>
      <c r="J64">
        <f>(tblRestock[[#This Row],[discount_percent]]-MIN(tblRestock[discount_percent]))/(MAX(tblRestock[discount_percent])-MIN(tblRestock[discount_percent]))</f>
        <v>0.18</v>
      </c>
      <c r="K64">
        <f>(tblRestock[[#This Row],[selling_price]]-MIN(tblRestock[selling_price]))/(MAX(tblRestock[selling_price])-MIN(tblRestock[selling_price]))</f>
        <v>3.41726618705036E-2</v>
      </c>
      <c r="L64">
        <f>(tblRestock[[#This Row],[listing_count]]-MIN(tblRestock[listing_count]))/(MAX(tblRestock[listing_count])-MIN(tblRestock[listing_count]))</f>
        <v>0.4</v>
      </c>
      <c r="M64">
        <f>$B$3*tblRestock[[#This Row],[Disc_N]]+$B$4*tblRestock[[#This Row],[Price_N]]+$B$5*tblRestock[[#This Row],[Vis_N]]</f>
        <v>0.20225179856115105</v>
      </c>
      <c r="N64">
        <f t="shared" si="0"/>
        <v>54</v>
      </c>
    </row>
    <row r="65" spans="1:14">
      <c r="A65">
        <v>554</v>
      </c>
      <c r="B65" t="s">
        <v>1623</v>
      </c>
      <c r="C65" t="s">
        <v>1575</v>
      </c>
      <c r="D65">
        <v>315</v>
      </c>
      <c r="E65">
        <v>287</v>
      </c>
      <c r="F65">
        <v>8</v>
      </c>
      <c r="G65">
        <v>2</v>
      </c>
      <c r="H65">
        <v>2</v>
      </c>
      <c r="I65">
        <v>5000</v>
      </c>
      <c r="J65">
        <f>(tblRestock[[#This Row],[discount_percent]]-MIN(tblRestock[discount_percent]))/(MAX(tblRestock[discount_percent])-MIN(tblRestock[discount_percent]))</f>
        <v>0.16</v>
      </c>
      <c r="K65">
        <f>(tblRestock[[#This Row],[selling_price]]-MIN(tblRestock[selling_price]))/(MAX(tblRestock[selling_price])-MIN(tblRestock[selling_price]))</f>
        <v>0.5</v>
      </c>
      <c r="L65">
        <f>(tblRestock[[#This Row],[listing_count]]-MIN(tblRestock[listing_count]))/(MAX(tblRestock[listing_count])-MIN(tblRestock[listing_count]))</f>
        <v>0.2</v>
      </c>
      <c r="M65">
        <f>$B$3*tblRestock[[#This Row],[Disc_N]]+$B$4*tblRestock[[#This Row],[Price_N]]+$B$5*tblRestock[[#This Row],[Vis_N]]</f>
        <v>0.27400000000000002</v>
      </c>
      <c r="N65">
        <f t="shared" si="0"/>
        <v>26</v>
      </c>
    </row>
    <row r="66" spans="1:14">
      <c r="A66">
        <v>583</v>
      </c>
      <c r="B66" t="s">
        <v>1624</v>
      </c>
      <c r="C66" t="s">
        <v>1575</v>
      </c>
      <c r="D66">
        <v>185</v>
      </c>
      <c r="E66">
        <v>169</v>
      </c>
      <c r="F66">
        <v>8</v>
      </c>
      <c r="G66">
        <v>2</v>
      </c>
      <c r="H66">
        <v>2</v>
      </c>
      <c r="I66">
        <v>1000</v>
      </c>
      <c r="J66">
        <f>(tblRestock[[#This Row],[discount_percent]]-MIN(tblRestock[discount_percent]))/(MAX(tblRestock[discount_percent])-MIN(tblRestock[discount_percent]))</f>
        <v>0.16</v>
      </c>
      <c r="K66">
        <f>(tblRestock[[#This Row],[selling_price]]-MIN(tblRestock[selling_price]))/(MAX(tblRestock[selling_price])-MIN(tblRestock[selling_price]))</f>
        <v>0.28776978417266186</v>
      </c>
      <c r="L66">
        <f>(tblRestock[[#This Row],[listing_count]]-MIN(tblRestock[listing_count]))/(MAX(tblRestock[listing_count])-MIN(tblRestock[listing_count]))</f>
        <v>0.2</v>
      </c>
      <c r="M66">
        <f>$B$3*tblRestock[[#This Row],[Disc_N]]+$B$4*tblRestock[[#This Row],[Price_N]]+$B$5*tblRestock[[#This Row],[Vis_N]]</f>
        <v>0.21033093525179855</v>
      </c>
      <c r="N66">
        <f t="shared" si="0"/>
        <v>47</v>
      </c>
    </row>
    <row r="67" spans="1:14">
      <c r="A67">
        <v>3623</v>
      </c>
      <c r="B67" t="s">
        <v>1625</v>
      </c>
      <c r="C67" t="s">
        <v>27</v>
      </c>
      <c r="D67">
        <v>90</v>
      </c>
      <c r="E67">
        <v>82</v>
      </c>
      <c r="F67">
        <v>8</v>
      </c>
      <c r="G67">
        <v>1</v>
      </c>
      <c r="H67">
        <v>1</v>
      </c>
      <c r="I67">
        <v>100</v>
      </c>
      <c r="J67">
        <f>(tblRestock[[#This Row],[discount_percent]]-MIN(tblRestock[discount_percent]))/(MAX(tblRestock[discount_percent])-MIN(tblRestock[discount_percent]))</f>
        <v>0.16</v>
      </c>
      <c r="K67">
        <f>(tblRestock[[#This Row],[selling_price]]-MIN(tblRestock[selling_price]))/(MAX(tblRestock[selling_price])-MIN(tblRestock[selling_price]))</f>
        <v>0.13129496402877697</v>
      </c>
      <c r="L67">
        <f>(tblRestock[[#This Row],[listing_count]]-MIN(tblRestock[listing_count]))/(MAX(tblRestock[listing_count])-MIN(tblRestock[listing_count]))</f>
        <v>0</v>
      </c>
      <c r="M67">
        <f>$B$3*tblRestock[[#This Row],[Disc_N]]+$B$4*tblRestock[[#This Row],[Price_N]]+$B$5*tblRestock[[#This Row],[Vis_N]]</f>
        <v>0.10338848920863308</v>
      </c>
      <c r="N67">
        <f t="shared" si="0"/>
        <v>137</v>
      </c>
    </row>
    <row r="68" spans="1:14">
      <c r="A68">
        <v>1742</v>
      </c>
      <c r="B68" t="s">
        <v>1626</v>
      </c>
      <c r="C68" t="s">
        <v>1577</v>
      </c>
      <c r="D68">
        <v>69</v>
      </c>
      <c r="E68">
        <v>63</v>
      </c>
      <c r="F68">
        <v>8</v>
      </c>
      <c r="G68">
        <v>3</v>
      </c>
      <c r="H68">
        <v>3</v>
      </c>
      <c r="I68">
        <v>250</v>
      </c>
      <c r="J68">
        <f>(tblRestock[[#This Row],[discount_percent]]-MIN(tblRestock[discount_percent]))/(MAX(tblRestock[discount_percent])-MIN(tblRestock[discount_percent]))</f>
        <v>0.16</v>
      </c>
      <c r="K68">
        <f>(tblRestock[[#This Row],[selling_price]]-MIN(tblRestock[selling_price]))/(MAX(tblRestock[selling_price])-MIN(tblRestock[selling_price]))</f>
        <v>9.7122302158273388E-2</v>
      </c>
      <c r="L68">
        <f>(tblRestock[[#This Row],[listing_count]]-MIN(tblRestock[listing_count]))/(MAX(tblRestock[listing_count])-MIN(tblRestock[listing_count]))</f>
        <v>0.4</v>
      </c>
      <c r="M68">
        <f>$B$3*tblRestock[[#This Row],[Disc_N]]+$B$4*tblRestock[[#This Row],[Price_N]]+$B$5*tblRestock[[#This Row],[Vis_N]]</f>
        <v>0.21313669064748203</v>
      </c>
      <c r="N68">
        <f t="shared" si="0"/>
        <v>46</v>
      </c>
    </row>
    <row r="69" spans="1:14">
      <c r="A69">
        <v>547</v>
      </c>
      <c r="B69" t="s">
        <v>1627</v>
      </c>
      <c r="C69" t="s">
        <v>1575</v>
      </c>
      <c r="D69">
        <v>35</v>
      </c>
      <c r="E69">
        <v>32</v>
      </c>
      <c r="F69">
        <v>8</v>
      </c>
      <c r="G69">
        <v>2</v>
      </c>
      <c r="H69">
        <v>2</v>
      </c>
      <c r="I69">
        <v>500</v>
      </c>
      <c r="J69">
        <f>(tblRestock[[#This Row],[discount_percent]]-MIN(tblRestock[discount_percent]))/(MAX(tblRestock[discount_percent])-MIN(tblRestock[discount_percent]))</f>
        <v>0.16</v>
      </c>
      <c r="K69">
        <f>(tblRestock[[#This Row],[selling_price]]-MIN(tblRestock[selling_price]))/(MAX(tblRestock[selling_price])-MIN(tblRestock[selling_price]))</f>
        <v>4.1366906474820143E-2</v>
      </c>
      <c r="L69">
        <f>(tblRestock[[#This Row],[listing_count]]-MIN(tblRestock[listing_count]))/(MAX(tblRestock[listing_count])-MIN(tblRestock[listing_count]))</f>
        <v>0.2</v>
      </c>
      <c r="M69">
        <f>$B$3*tblRestock[[#This Row],[Disc_N]]+$B$4*tblRestock[[#This Row],[Price_N]]+$B$5*tblRestock[[#This Row],[Vis_N]]</f>
        <v>0.13641007194244603</v>
      </c>
      <c r="N69">
        <f t="shared" si="0"/>
        <v>108</v>
      </c>
    </row>
    <row r="70" spans="1:14">
      <c r="A70">
        <v>2715</v>
      </c>
      <c r="B70" t="s">
        <v>1628</v>
      </c>
      <c r="C70" t="s">
        <v>14</v>
      </c>
      <c r="D70">
        <v>35</v>
      </c>
      <c r="E70">
        <v>32</v>
      </c>
      <c r="F70">
        <v>8</v>
      </c>
      <c r="G70">
        <v>1</v>
      </c>
      <c r="H70">
        <v>1</v>
      </c>
      <c r="I70">
        <v>75</v>
      </c>
      <c r="J70">
        <f>(tblRestock[[#This Row],[discount_percent]]-MIN(tblRestock[discount_percent]))/(MAX(tblRestock[discount_percent])-MIN(tblRestock[discount_percent]))</f>
        <v>0.16</v>
      </c>
      <c r="K70">
        <f>(tblRestock[[#This Row],[selling_price]]-MIN(tblRestock[selling_price]))/(MAX(tblRestock[selling_price])-MIN(tblRestock[selling_price]))</f>
        <v>4.1366906474820143E-2</v>
      </c>
      <c r="L70">
        <f>(tblRestock[[#This Row],[listing_count]]-MIN(tblRestock[listing_count]))/(MAX(tblRestock[listing_count])-MIN(tblRestock[listing_count]))</f>
        <v>0</v>
      </c>
      <c r="M70">
        <f>$B$3*tblRestock[[#This Row],[Disc_N]]+$B$4*tblRestock[[#This Row],[Price_N]]+$B$5*tblRestock[[#This Row],[Vis_N]]</f>
        <v>7.6410071942446048E-2</v>
      </c>
      <c r="N70">
        <f t="shared" si="0"/>
        <v>164</v>
      </c>
    </row>
    <row r="71" spans="1:14">
      <c r="A71">
        <v>2727</v>
      </c>
      <c r="B71" t="s">
        <v>1629</v>
      </c>
      <c r="C71" t="s">
        <v>14</v>
      </c>
      <c r="D71">
        <v>25</v>
      </c>
      <c r="E71">
        <v>23</v>
      </c>
      <c r="F71">
        <v>8</v>
      </c>
      <c r="G71">
        <v>1</v>
      </c>
      <c r="H71">
        <v>1</v>
      </c>
      <c r="I71">
        <v>75</v>
      </c>
      <c r="J71">
        <f>(tblRestock[[#This Row],[discount_percent]]-MIN(tblRestock[discount_percent]))/(MAX(tblRestock[discount_percent])-MIN(tblRestock[discount_percent]))</f>
        <v>0.16</v>
      </c>
      <c r="K71">
        <f>(tblRestock[[#This Row],[selling_price]]-MIN(tblRestock[selling_price]))/(MAX(tblRestock[selling_price])-MIN(tblRestock[selling_price]))</f>
        <v>2.5179856115107913E-2</v>
      </c>
      <c r="L71">
        <f>(tblRestock[[#This Row],[listing_count]]-MIN(tblRestock[listing_count]))/(MAX(tblRestock[listing_count])-MIN(tblRestock[listing_count]))</f>
        <v>0</v>
      </c>
      <c r="M71">
        <f>$B$3*tblRestock[[#This Row],[Disc_N]]+$B$4*tblRestock[[#This Row],[Price_N]]+$B$5*tblRestock[[#This Row],[Vis_N]]</f>
        <v>7.1553956834532376E-2</v>
      </c>
      <c r="N71">
        <f t="shared" si="0"/>
        <v>169</v>
      </c>
    </row>
    <row r="72" spans="1:14">
      <c r="A72">
        <v>3624</v>
      </c>
      <c r="B72" t="s">
        <v>1630</v>
      </c>
      <c r="C72" t="s">
        <v>27</v>
      </c>
      <c r="D72">
        <v>12</v>
      </c>
      <c r="E72">
        <v>11</v>
      </c>
      <c r="F72">
        <v>8</v>
      </c>
      <c r="G72">
        <v>1</v>
      </c>
      <c r="H72">
        <v>1</v>
      </c>
      <c r="I72">
        <v>58</v>
      </c>
      <c r="J72">
        <f>(tblRestock[[#This Row],[discount_percent]]-MIN(tblRestock[discount_percent]))/(MAX(tblRestock[discount_percent])-MIN(tblRestock[discount_percent]))</f>
        <v>0.16</v>
      </c>
      <c r="K72">
        <f>(tblRestock[[#This Row],[selling_price]]-MIN(tblRestock[selling_price]))/(MAX(tblRestock[selling_price])-MIN(tblRestock[selling_price]))</f>
        <v>3.5971223021582736E-3</v>
      </c>
      <c r="L72">
        <f>(tblRestock[[#This Row],[listing_count]]-MIN(tblRestock[listing_count]))/(MAX(tblRestock[listing_count])-MIN(tblRestock[listing_count]))</f>
        <v>0</v>
      </c>
      <c r="M72">
        <f>$B$3*tblRestock[[#This Row],[Disc_N]]+$B$4*tblRestock[[#This Row],[Price_N]]+$B$5*tblRestock[[#This Row],[Vis_N]]</f>
        <v>6.5079136690647479E-2</v>
      </c>
      <c r="N72">
        <f t="shared" si="0"/>
        <v>179</v>
      </c>
    </row>
    <row r="73" spans="1:14">
      <c r="A73">
        <v>3097</v>
      </c>
      <c r="B73" t="s">
        <v>1631</v>
      </c>
      <c r="C73" t="s">
        <v>1586</v>
      </c>
      <c r="D73">
        <v>399</v>
      </c>
      <c r="E73">
        <v>369</v>
      </c>
      <c r="F73">
        <v>7</v>
      </c>
      <c r="G73">
        <v>2</v>
      </c>
      <c r="H73">
        <v>2</v>
      </c>
      <c r="I73">
        <v>26</v>
      </c>
      <c r="J73">
        <f>(tblRestock[[#This Row],[discount_percent]]-MIN(tblRestock[discount_percent]))/(MAX(tblRestock[discount_percent])-MIN(tblRestock[discount_percent]))</f>
        <v>0.14000000000000001</v>
      </c>
      <c r="K73">
        <f>(tblRestock[[#This Row],[selling_price]]-MIN(tblRestock[selling_price]))/(MAX(tblRestock[selling_price])-MIN(tblRestock[selling_price]))</f>
        <v>0.64748201438848918</v>
      </c>
      <c r="L73">
        <f>(tblRestock[[#This Row],[listing_count]]-MIN(tblRestock[listing_count]))/(MAX(tblRestock[listing_count])-MIN(tblRestock[listing_count]))</f>
        <v>0.2</v>
      </c>
      <c r="M73">
        <f>$B$3*tblRestock[[#This Row],[Disc_N]]+$B$4*tblRestock[[#This Row],[Price_N]]+$B$5*tblRestock[[#This Row],[Vis_N]]</f>
        <v>0.31024460431654677</v>
      </c>
      <c r="N73">
        <f t="shared" si="0"/>
        <v>15</v>
      </c>
    </row>
    <row r="74" spans="1:14">
      <c r="A74">
        <v>3088</v>
      </c>
      <c r="B74" t="s">
        <v>1632</v>
      </c>
      <c r="C74" t="s">
        <v>1620</v>
      </c>
      <c r="D74">
        <v>249</v>
      </c>
      <c r="E74">
        <v>230</v>
      </c>
      <c r="F74">
        <v>7</v>
      </c>
      <c r="G74">
        <v>3</v>
      </c>
      <c r="H74">
        <v>3</v>
      </c>
      <c r="I74">
        <v>58</v>
      </c>
      <c r="J74">
        <f>(tblRestock[[#This Row],[discount_percent]]-MIN(tblRestock[discount_percent]))/(MAX(tblRestock[discount_percent])-MIN(tblRestock[discount_percent]))</f>
        <v>0.14000000000000001</v>
      </c>
      <c r="K74">
        <f>(tblRestock[[#This Row],[selling_price]]-MIN(tblRestock[selling_price]))/(MAX(tblRestock[selling_price])-MIN(tblRestock[selling_price]))</f>
        <v>0.39748201438848924</v>
      </c>
      <c r="L74">
        <f>(tblRestock[[#This Row],[listing_count]]-MIN(tblRestock[listing_count]))/(MAX(tblRestock[listing_count])-MIN(tblRestock[listing_count]))</f>
        <v>0.4</v>
      </c>
      <c r="M74">
        <f>$B$3*tblRestock[[#This Row],[Disc_N]]+$B$4*tblRestock[[#This Row],[Price_N]]+$B$5*tblRestock[[#This Row],[Vis_N]]</f>
        <v>0.29524460431654675</v>
      </c>
      <c r="N74">
        <f t="shared" ref="N74:N137" si="1">_xlfn.RANK.EQ(M74,$M$10:$M$226,0)+COUNTIFS($M$10:$M$226,M74,$A$10:$A$226,"&lt;"&amp;A74)</f>
        <v>19</v>
      </c>
    </row>
    <row r="75" spans="1:14">
      <c r="A75">
        <v>3626</v>
      </c>
      <c r="B75" t="s">
        <v>1633</v>
      </c>
      <c r="C75" t="s">
        <v>27</v>
      </c>
      <c r="D75">
        <v>190</v>
      </c>
      <c r="E75">
        <v>175</v>
      </c>
      <c r="F75">
        <v>7</v>
      </c>
      <c r="G75">
        <v>1</v>
      </c>
      <c r="H75">
        <v>1</v>
      </c>
      <c r="I75">
        <v>58</v>
      </c>
      <c r="J75">
        <f>(tblRestock[[#This Row],[discount_percent]]-MIN(tblRestock[discount_percent]))/(MAX(tblRestock[discount_percent])-MIN(tblRestock[discount_percent]))</f>
        <v>0.14000000000000001</v>
      </c>
      <c r="K75">
        <f>(tblRestock[[#This Row],[selling_price]]-MIN(tblRestock[selling_price]))/(MAX(tblRestock[selling_price])-MIN(tblRestock[selling_price]))</f>
        <v>0.29856115107913667</v>
      </c>
      <c r="L75">
        <f>(tblRestock[[#This Row],[listing_count]]-MIN(tblRestock[listing_count]))/(MAX(tblRestock[listing_count])-MIN(tblRestock[listing_count]))</f>
        <v>0</v>
      </c>
      <c r="M75">
        <f>$B$3*tblRestock[[#This Row],[Disc_N]]+$B$4*tblRestock[[#This Row],[Price_N]]+$B$5*tblRestock[[#This Row],[Vis_N]]</f>
        <v>0.14556834532374102</v>
      </c>
      <c r="N75">
        <f t="shared" si="1"/>
        <v>102</v>
      </c>
    </row>
    <row r="76" spans="1:14">
      <c r="A76">
        <v>3094</v>
      </c>
      <c r="B76" t="s">
        <v>1634</v>
      </c>
      <c r="C76" t="s">
        <v>1586</v>
      </c>
      <c r="D76">
        <v>130</v>
      </c>
      <c r="E76">
        <v>120</v>
      </c>
      <c r="F76">
        <v>7</v>
      </c>
      <c r="G76">
        <v>2</v>
      </c>
      <c r="H76">
        <v>2</v>
      </c>
      <c r="I76">
        <v>200</v>
      </c>
      <c r="J76">
        <f>(tblRestock[[#This Row],[discount_percent]]-MIN(tblRestock[discount_percent]))/(MAX(tblRestock[discount_percent])-MIN(tblRestock[discount_percent]))</f>
        <v>0.14000000000000001</v>
      </c>
      <c r="K76">
        <f>(tblRestock[[#This Row],[selling_price]]-MIN(tblRestock[selling_price]))/(MAX(tblRestock[selling_price])-MIN(tblRestock[selling_price]))</f>
        <v>0.19964028776978418</v>
      </c>
      <c r="L76">
        <f>(tblRestock[[#This Row],[listing_count]]-MIN(tblRestock[listing_count]))/(MAX(tblRestock[listing_count])-MIN(tblRestock[listing_count]))</f>
        <v>0.2</v>
      </c>
      <c r="M76">
        <f>$B$3*tblRestock[[#This Row],[Disc_N]]+$B$4*tblRestock[[#This Row],[Price_N]]+$B$5*tblRestock[[#This Row],[Vis_N]]</f>
        <v>0.17589208633093525</v>
      </c>
      <c r="N76">
        <f t="shared" si="1"/>
        <v>69</v>
      </c>
    </row>
    <row r="77" spans="1:14">
      <c r="A77">
        <v>1754</v>
      </c>
      <c r="B77" t="s">
        <v>1635</v>
      </c>
      <c r="C77" t="s">
        <v>1577</v>
      </c>
      <c r="D77">
        <v>120</v>
      </c>
      <c r="E77">
        <v>111</v>
      </c>
      <c r="F77">
        <v>7</v>
      </c>
      <c r="G77">
        <v>3</v>
      </c>
      <c r="H77">
        <v>3</v>
      </c>
      <c r="I77">
        <v>950</v>
      </c>
      <c r="J77">
        <f>(tblRestock[[#This Row],[discount_percent]]-MIN(tblRestock[discount_percent]))/(MAX(tblRestock[discount_percent])-MIN(tblRestock[discount_percent]))</f>
        <v>0.14000000000000001</v>
      </c>
      <c r="K77">
        <f>(tblRestock[[#This Row],[selling_price]]-MIN(tblRestock[selling_price]))/(MAX(tblRestock[selling_price])-MIN(tblRestock[selling_price]))</f>
        <v>0.18345323741007194</v>
      </c>
      <c r="L77">
        <f>(tblRestock[[#This Row],[listing_count]]-MIN(tblRestock[listing_count]))/(MAX(tblRestock[listing_count])-MIN(tblRestock[listing_count]))</f>
        <v>0.4</v>
      </c>
      <c r="M77">
        <f>$B$3*tblRestock[[#This Row],[Disc_N]]+$B$4*tblRestock[[#This Row],[Price_N]]+$B$5*tblRestock[[#This Row],[Vis_N]]</f>
        <v>0.23103597122302158</v>
      </c>
      <c r="N77">
        <f t="shared" si="1"/>
        <v>41</v>
      </c>
    </row>
    <row r="78" spans="1:14">
      <c r="A78">
        <v>3084</v>
      </c>
      <c r="B78" t="s">
        <v>1636</v>
      </c>
      <c r="C78" t="s">
        <v>1586</v>
      </c>
      <c r="D78">
        <v>115</v>
      </c>
      <c r="E78">
        <v>106</v>
      </c>
      <c r="F78">
        <v>7</v>
      </c>
      <c r="G78">
        <v>2</v>
      </c>
      <c r="H78">
        <v>2</v>
      </c>
      <c r="I78">
        <v>75</v>
      </c>
      <c r="J78">
        <f>(tblRestock[[#This Row],[discount_percent]]-MIN(tblRestock[discount_percent]))/(MAX(tblRestock[discount_percent])-MIN(tblRestock[discount_percent]))</f>
        <v>0.14000000000000001</v>
      </c>
      <c r="K78">
        <f>(tblRestock[[#This Row],[selling_price]]-MIN(tblRestock[selling_price]))/(MAX(tblRestock[selling_price])-MIN(tblRestock[selling_price]))</f>
        <v>0.17446043165467626</v>
      </c>
      <c r="L78">
        <f>(tblRestock[[#This Row],[listing_count]]-MIN(tblRestock[listing_count]))/(MAX(tblRestock[listing_count])-MIN(tblRestock[listing_count]))</f>
        <v>0.2</v>
      </c>
      <c r="M78">
        <f>$B$3*tblRestock[[#This Row],[Disc_N]]+$B$4*tblRestock[[#This Row],[Price_N]]+$B$5*tblRestock[[#This Row],[Vis_N]]</f>
        <v>0.16833812949640287</v>
      </c>
      <c r="N78">
        <f t="shared" si="1"/>
        <v>73</v>
      </c>
    </row>
    <row r="79" spans="1:14">
      <c r="A79">
        <v>604</v>
      </c>
      <c r="B79" t="s">
        <v>1637</v>
      </c>
      <c r="C79" t="s">
        <v>1575</v>
      </c>
      <c r="D79">
        <v>102</v>
      </c>
      <c r="E79">
        <v>94</v>
      </c>
      <c r="F79">
        <v>7</v>
      </c>
      <c r="G79">
        <v>2</v>
      </c>
      <c r="H79">
        <v>2</v>
      </c>
      <c r="I79">
        <v>1000</v>
      </c>
      <c r="J79">
        <f>(tblRestock[[#This Row],[discount_percent]]-MIN(tblRestock[discount_percent]))/(MAX(tblRestock[discount_percent])-MIN(tblRestock[discount_percent]))</f>
        <v>0.14000000000000001</v>
      </c>
      <c r="K79">
        <f>(tblRestock[[#This Row],[selling_price]]-MIN(tblRestock[selling_price]))/(MAX(tblRestock[selling_price])-MIN(tblRestock[selling_price]))</f>
        <v>0.15287769784172661</v>
      </c>
      <c r="L79">
        <f>(tblRestock[[#This Row],[listing_count]]-MIN(tblRestock[listing_count]))/(MAX(tblRestock[listing_count])-MIN(tblRestock[listing_count]))</f>
        <v>0.2</v>
      </c>
      <c r="M79">
        <f>$B$3*tblRestock[[#This Row],[Disc_N]]+$B$4*tblRestock[[#This Row],[Price_N]]+$B$5*tblRestock[[#This Row],[Vis_N]]</f>
        <v>0.161863309352518</v>
      </c>
      <c r="N79">
        <f t="shared" si="1"/>
        <v>83</v>
      </c>
    </row>
    <row r="80" spans="1:14">
      <c r="A80">
        <v>557</v>
      </c>
      <c r="B80" t="s">
        <v>114</v>
      </c>
      <c r="C80" t="s">
        <v>1575</v>
      </c>
      <c r="D80">
        <v>80</v>
      </c>
      <c r="E80">
        <v>74</v>
      </c>
      <c r="F80">
        <v>7</v>
      </c>
      <c r="G80">
        <v>2</v>
      </c>
      <c r="H80">
        <v>2</v>
      </c>
      <c r="I80">
        <v>500</v>
      </c>
      <c r="J80">
        <f>(tblRestock[[#This Row],[discount_percent]]-MIN(tblRestock[discount_percent]))/(MAX(tblRestock[discount_percent])-MIN(tblRestock[discount_percent]))</f>
        <v>0.14000000000000001</v>
      </c>
      <c r="K80">
        <f>(tblRestock[[#This Row],[selling_price]]-MIN(tblRestock[selling_price]))/(MAX(tblRestock[selling_price])-MIN(tblRestock[selling_price]))</f>
        <v>0.11690647482014388</v>
      </c>
      <c r="L80">
        <f>(tblRestock[[#This Row],[listing_count]]-MIN(tblRestock[listing_count]))/(MAX(tblRestock[listing_count])-MIN(tblRestock[listing_count]))</f>
        <v>0.2</v>
      </c>
      <c r="M80">
        <f>$B$3*tblRestock[[#This Row],[Disc_N]]+$B$4*tblRestock[[#This Row],[Price_N]]+$B$5*tblRestock[[#This Row],[Vis_N]]</f>
        <v>0.15107194244604316</v>
      </c>
      <c r="N80">
        <f t="shared" si="1"/>
        <v>94</v>
      </c>
    </row>
    <row r="81" spans="1:14">
      <c r="A81">
        <v>597</v>
      </c>
      <c r="B81" t="s">
        <v>1638</v>
      </c>
      <c r="C81" t="s">
        <v>1575</v>
      </c>
      <c r="D81">
        <v>64</v>
      </c>
      <c r="E81">
        <v>59</v>
      </c>
      <c r="F81">
        <v>7</v>
      </c>
      <c r="G81">
        <v>2</v>
      </c>
      <c r="H81">
        <v>2</v>
      </c>
      <c r="I81">
        <v>1000</v>
      </c>
      <c r="J81">
        <f>(tblRestock[[#This Row],[discount_percent]]-MIN(tblRestock[discount_percent]))/(MAX(tblRestock[discount_percent])-MIN(tblRestock[discount_percent]))</f>
        <v>0.14000000000000001</v>
      </c>
      <c r="K81">
        <f>(tblRestock[[#This Row],[selling_price]]-MIN(tblRestock[selling_price]))/(MAX(tblRestock[selling_price])-MIN(tblRestock[selling_price]))</f>
        <v>8.9928057553956831E-2</v>
      </c>
      <c r="L81">
        <f>(tblRestock[[#This Row],[listing_count]]-MIN(tblRestock[listing_count]))/(MAX(tblRestock[listing_count])-MIN(tblRestock[listing_count]))</f>
        <v>0.2</v>
      </c>
      <c r="M81">
        <f>$B$3*tblRestock[[#This Row],[Disc_N]]+$B$4*tblRestock[[#This Row],[Price_N]]+$B$5*tblRestock[[#This Row],[Vis_N]]</f>
        <v>0.14297841726618704</v>
      </c>
      <c r="N81">
        <f t="shared" si="1"/>
        <v>106</v>
      </c>
    </row>
    <row r="82" spans="1:14">
      <c r="A82">
        <v>562</v>
      </c>
      <c r="B82" t="s">
        <v>1639</v>
      </c>
      <c r="C82" t="s">
        <v>1575</v>
      </c>
      <c r="D82">
        <v>38</v>
      </c>
      <c r="E82">
        <v>35</v>
      </c>
      <c r="F82">
        <v>7</v>
      </c>
      <c r="G82">
        <v>2</v>
      </c>
      <c r="H82">
        <v>2</v>
      </c>
      <c r="I82">
        <v>500</v>
      </c>
      <c r="J82">
        <f>(tblRestock[[#This Row],[discount_percent]]-MIN(tblRestock[discount_percent]))/(MAX(tblRestock[discount_percent])-MIN(tblRestock[discount_percent]))</f>
        <v>0.14000000000000001</v>
      </c>
      <c r="K82">
        <f>(tblRestock[[#This Row],[selling_price]]-MIN(tblRestock[selling_price]))/(MAX(tblRestock[selling_price])-MIN(tblRestock[selling_price]))</f>
        <v>4.6762589928057555E-2</v>
      </c>
      <c r="L82">
        <f>(tblRestock[[#This Row],[listing_count]]-MIN(tblRestock[listing_count]))/(MAX(tblRestock[listing_count])-MIN(tblRestock[listing_count]))</f>
        <v>0.2</v>
      </c>
      <c r="M82">
        <f>$B$3*tblRestock[[#This Row],[Disc_N]]+$B$4*tblRestock[[#This Row],[Price_N]]+$B$5*tblRestock[[#This Row],[Vis_N]]</f>
        <v>0.13002877697841728</v>
      </c>
      <c r="N82">
        <f t="shared" si="1"/>
        <v>114</v>
      </c>
    </row>
    <row r="83" spans="1:14">
      <c r="A83">
        <v>3632</v>
      </c>
      <c r="B83" t="s">
        <v>164</v>
      </c>
      <c r="C83" t="s">
        <v>27</v>
      </c>
      <c r="D83">
        <v>208</v>
      </c>
      <c r="E83">
        <v>195</v>
      </c>
      <c r="F83">
        <v>6</v>
      </c>
      <c r="G83">
        <v>1</v>
      </c>
      <c r="H83">
        <v>1</v>
      </c>
      <c r="I83">
        <v>1000</v>
      </c>
      <c r="J83">
        <f>(tblRestock[[#This Row],[discount_percent]]-MIN(tblRestock[discount_percent]))/(MAX(tblRestock[discount_percent])-MIN(tblRestock[discount_percent]))</f>
        <v>0.12</v>
      </c>
      <c r="K83">
        <f>(tblRestock[[#This Row],[selling_price]]-MIN(tblRestock[selling_price]))/(MAX(tblRestock[selling_price])-MIN(tblRestock[selling_price]))</f>
        <v>0.3345323741007194</v>
      </c>
      <c r="L83">
        <f>(tblRestock[[#This Row],[listing_count]]-MIN(tblRestock[listing_count]))/(MAX(tblRestock[listing_count])-MIN(tblRestock[listing_count]))</f>
        <v>0</v>
      </c>
      <c r="M83">
        <f>$B$3*tblRestock[[#This Row],[Disc_N]]+$B$4*tblRestock[[#This Row],[Price_N]]+$B$5*tblRestock[[#This Row],[Vis_N]]</f>
        <v>0.14835971223021582</v>
      </c>
      <c r="N83">
        <f t="shared" si="1"/>
        <v>97</v>
      </c>
    </row>
    <row r="84" spans="1:14">
      <c r="A84">
        <v>1756</v>
      </c>
      <c r="B84" t="s">
        <v>1640</v>
      </c>
      <c r="C84" t="s">
        <v>1577</v>
      </c>
      <c r="D84">
        <v>135</v>
      </c>
      <c r="E84">
        <v>126</v>
      </c>
      <c r="F84">
        <v>6</v>
      </c>
      <c r="G84">
        <v>3</v>
      </c>
      <c r="H84">
        <v>3</v>
      </c>
      <c r="I84">
        <v>500</v>
      </c>
      <c r="J84">
        <f>(tblRestock[[#This Row],[discount_percent]]-MIN(tblRestock[discount_percent]))/(MAX(tblRestock[discount_percent])-MIN(tblRestock[discount_percent]))</f>
        <v>0.12</v>
      </c>
      <c r="K84">
        <f>(tblRestock[[#This Row],[selling_price]]-MIN(tblRestock[selling_price]))/(MAX(tblRestock[selling_price])-MIN(tblRestock[selling_price]))</f>
        <v>0.21043165467625899</v>
      </c>
      <c r="L84">
        <f>(tblRestock[[#This Row],[listing_count]]-MIN(tblRestock[listing_count]))/(MAX(tblRestock[listing_count])-MIN(tblRestock[listing_count]))</f>
        <v>0.4</v>
      </c>
      <c r="M84">
        <f>$B$3*tblRestock[[#This Row],[Disc_N]]+$B$4*tblRestock[[#This Row],[Price_N]]+$B$5*tblRestock[[#This Row],[Vis_N]]</f>
        <v>0.23112949640287769</v>
      </c>
      <c r="N84">
        <f t="shared" si="1"/>
        <v>40</v>
      </c>
    </row>
    <row r="85" spans="1:14">
      <c r="A85">
        <v>565</v>
      </c>
      <c r="B85" t="s">
        <v>1641</v>
      </c>
      <c r="C85" t="s">
        <v>1575</v>
      </c>
      <c r="D85">
        <v>119</v>
      </c>
      <c r="E85">
        <v>111</v>
      </c>
      <c r="F85">
        <v>6</v>
      </c>
      <c r="G85">
        <v>2</v>
      </c>
      <c r="H85">
        <v>2</v>
      </c>
      <c r="I85">
        <v>500</v>
      </c>
      <c r="J85">
        <f>(tblRestock[[#This Row],[discount_percent]]-MIN(tblRestock[discount_percent]))/(MAX(tblRestock[discount_percent])-MIN(tblRestock[discount_percent]))</f>
        <v>0.12</v>
      </c>
      <c r="K85">
        <f>(tblRestock[[#This Row],[selling_price]]-MIN(tblRestock[selling_price]))/(MAX(tblRestock[selling_price])-MIN(tblRestock[selling_price]))</f>
        <v>0.18345323741007194</v>
      </c>
      <c r="L85">
        <f>(tblRestock[[#This Row],[listing_count]]-MIN(tblRestock[listing_count]))/(MAX(tblRestock[listing_count])-MIN(tblRestock[listing_count]))</f>
        <v>0.2</v>
      </c>
      <c r="M85">
        <f>$B$3*tblRestock[[#This Row],[Disc_N]]+$B$4*tblRestock[[#This Row],[Price_N]]+$B$5*tblRestock[[#This Row],[Vis_N]]</f>
        <v>0.16303597122302158</v>
      </c>
      <c r="N85">
        <f t="shared" si="1"/>
        <v>82</v>
      </c>
    </row>
    <row r="86" spans="1:14">
      <c r="A86">
        <v>566</v>
      </c>
      <c r="B86" t="s">
        <v>1642</v>
      </c>
      <c r="C86" t="s">
        <v>1575</v>
      </c>
      <c r="D86">
        <v>88</v>
      </c>
      <c r="E86">
        <v>82</v>
      </c>
      <c r="F86">
        <v>6</v>
      </c>
      <c r="G86">
        <v>2</v>
      </c>
      <c r="H86">
        <v>2</v>
      </c>
      <c r="I86">
        <v>500</v>
      </c>
      <c r="J86">
        <f>(tblRestock[[#This Row],[discount_percent]]-MIN(tblRestock[discount_percent]))/(MAX(tblRestock[discount_percent])-MIN(tblRestock[discount_percent]))</f>
        <v>0.12</v>
      </c>
      <c r="K86">
        <f>(tblRestock[[#This Row],[selling_price]]-MIN(tblRestock[selling_price]))/(MAX(tblRestock[selling_price])-MIN(tblRestock[selling_price]))</f>
        <v>0.13129496402877697</v>
      </c>
      <c r="L86">
        <f>(tblRestock[[#This Row],[listing_count]]-MIN(tblRestock[listing_count]))/(MAX(tblRestock[listing_count])-MIN(tblRestock[listing_count]))</f>
        <v>0.2</v>
      </c>
      <c r="M86">
        <f>$B$3*tblRestock[[#This Row],[Disc_N]]+$B$4*tblRestock[[#This Row],[Price_N]]+$B$5*tblRestock[[#This Row],[Vis_N]]</f>
        <v>0.14738848920863309</v>
      </c>
      <c r="N86">
        <f t="shared" si="1"/>
        <v>98</v>
      </c>
    </row>
    <row r="87" spans="1:14">
      <c r="A87">
        <v>2729</v>
      </c>
      <c r="B87" t="s">
        <v>1643</v>
      </c>
      <c r="C87" t="s">
        <v>14</v>
      </c>
      <c r="D87">
        <v>65</v>
      </c>
      <c r="E87">
        <v>61</v>
      </c>
      <c r="F87">
        <v>6</v>
      </c>
      <c r="G87">
        <v>1</v>
      </c>
      <c r="H87">
        <v>1</v>
      </c>
      <c r="I87">
        <v>200</v>
      </c>
      <c r="J87">
        <f>(tblRestock[[#This Row],[discount_percent]]-MIN(tblRestock[discount_percent]))/(MAX(tblRestock[discount_percent])-MIN(tblRestock[discount_percent]))</f>
        <v>0.12</v>
      </c>
      <c r="K87">
        <f>(tblRestock[[#This Row],[selling_price]]-MIN(tblRestock[selling_price]))/(MAX(tblRestock[selling_price])-MIN(tblRestock[selling_price]))</f>
        <v>9.3525179856115109E-2</v>
      </c>
      <c r="L87">
        <f>(tblRestock[[#This Row],[listing_count]]-MIN(tblRestock[listing_count]))/(MAX(tblRestock[listing_count])-MIN(tblRestock[listing_count]))</f>
        <v>0</v>
      </c>
      <c r="M87">
        <f>$B$3*tblRestock[[#This Row],[Disc_N]]+$B$4*tblRestock[[#This Row],[Price_N]]+$B$5*tblRestock[[#This Row],[Vis_N]]</f>
        <v>7.6057553956834528E-2</v>
      </c>
      <c r="N87">
        <f t="shared" si="1"/>
        <v>165</v>
      </c>
    </row>
    <row r="88" spans="1:14">
      <c r="A88">
        <v>1725</v>
      </c>
      <c r="B88" t="s">
        <v>1644</v>
      </c>
      <c r="C88" t="s">
        <v>1577</v>
      </c>
      <c r="D88">
        <v>60</v>
      </c>
      <c r="E88">
        <v>56</v>
      </c>
      <c r="F88">
        <v>6</v>
      </c>
      <c r="G88">
        <v>3</v>
      </c>
      <c r="H88">
        <v>3</v>
      </c>
      <c r="I88">
        <v>156</v>
      </c>
      <c r="J88">
        <f>(tblRestock[[#This Row],[discount_percent]]-MIN(tblRestock[discount_percent]))/(MAX(tblRestock[discount_percent])-MIN(tblRestock[discount_percent]))</f>
        <v>0.12</v>
      </c>
      <c r="K88">
        <f>(tblRestock[[#This Row],[selling_price]]-MIN(tblRestock[selling_price]))/(MAX(tblRestock[selling_price])-MIN(tblRestock[selling_price]))</f>
        <v>8.4532374100719426E-2</v>
      </c>
      <c r="L88">
        <f>(tblRestock[[#This Row],[listing_count]]-MIN(tblRestock[listing_count]))/(MAX(tblRestock[listing_count])-MIN(tblRestock[listing_count]))</f>
        <v>0.4</v>
      </c>
      <c r="M88">
        <f>$B$3*tblRestock[[#This Row],[Disc_N]]+$B$4*tblRestock[[#This Row],[Price_N]]+$B$5*tblRestock[[#This Row],[Vis_N]]</f>
        <v>0.19335971223021581</v>
      </c>
      <c r="N88">
        <f t="shared" si="1"/>
        <v>60</v>
      </c>
    </row>
    <row r="89" spans="1:14">
      <c r="A89">
        <v>544</v>
      </c>
      <c r="B89" t="s">
        <v>1645</v>
      </c>
      <c r="C89" t="s">
        <v>1575</v>
      </c>
      <c r="D89">
        <v>60</v>
      </c>
      <c r="E89">
        <v>56</v>
      </c>
      <c r="F89">
        <v>6</v>
      </c>
      <c r="G89">
        <v>2</v>
      </c>
      <c r="H89">
        <v>2</v>
      </c>
      <c r="I89">
        <v>1000</v>
      </c>
      <c r="J89">
        <f>(tblRestock[[#This Row],[discount_percent]]-MIN(tblRestock[discount_percent]))/(MAX(tblRestock[discount_percent])-MIN(tblRestock[discount_percent]))</f>
        <v>0.12</v>
      </c>
      <c r="K89">
        <f>(tblRestock[[#This Row],[selling_price]]-MIN(tblRestock[selling_price]))/(MAX(tblRestock[selling_price])-MIN(tblRestock[selling_price]))</f>
        <v>8.4532374100719426E-2</v>
      </c>
      <c r="L89">
        <f>(tblRestock[[#This Row],[listing_count]]-MIN(tblRestock[listing_count]))/(MAX(tblRestock[listing_count])-MIN(tblRestock[listing_count]))</f>
        <v>0.2</v>
      </c>
      <c r="M89">
        <f>$B$3*tblRestock[[#This Row],[Disc_N]]+$B$4*tblRestock[[#This Row],[Price_N]]+$B$5*tblRestock[[#This Row],[Vis_N]]</f>
        <v>0.13335971223021581</v>
      </c>
      <c r="N89">
        <f t="shared" si="1"/>
        <v>110</v>
      </c>
    </row>
    <row r="90" spans="1:14">
      <c r="A90">
        <v>550</v>
      </c>
      <c r="B90" t="s">
        <v>1646</v>
      </c>
      <c r="C90" t="s">
        <v>1575</v>
      </c>
      <c r="D90">
        <v>58</v>
      </c>
      <c r="E90">
        <v>54</v>
      </c>
      <c r="F90">
        <v>6</v>
      </c>
      <c r="G90">
        <v>2</v>
      </c>
      <c r="H90">
        <v>2</v>
      </c>
      <c r="I90">
        <v>72</v>
      </c>
      <c r="J90">
        <f>(tblRestock[[#This Row],[discount_percent]]-MIN(tblRestock[discount_percent]))/(MAX(tblRestock[discount_percent])-MIN(tblRestock[discount_percent]))</f>
        <v>0.12</v>
      </c>
      <c r="K90">
        <f>(tblRestock[[#This Row],[selling_price]]-MIN(tblRestock[selling_price]))/(MAX(tblRestock[selling_price])-MIN(tblRestock[selling_price]))</f>
        <v>8.0935251798561147E-2</v>
      </c>
      <c r="L90">
        <f>(tblRestock[[#This Row],[listing_count]]-MIN(tblRestock[listing_count]))/(MAX(tblRestock[listing_count])-MIN(tblRestock[listing_count]))</f>
        <v>0.2</v>
      </c>
      <c r="M90">
        <f>$B$3*tblRestock[[#This Row],[Disc_N]]+$B$4*tblRestock[[#This Row],[Price_N]]+$B$5*tblRestock[[#This Row],[Vis_N]]</f>
        <v>0.13228057553956835</v>
      </c>
      <c r="N90">
        <f t="shared" si="1"/>
        <v>111</v>
      </c>
    </row>
    <row r="91" spans="1:14">
      <c r="A91">
        <v>2742</v>
      </c>
      <c r="B91" t="s">
        <v>153</v>
      </c>
      <c r="C91" t="s">
        <v>14</v>
      </c>
      <c r="D91">
        <v>50</v>
      </c>
      <c r="E91">
        <v>47</v>
      </c>
      <c r="F91">
        <v>6</v>
      </c>
      <c r="G91">
        <v>1</v>
      </c>
      <c r="H91">
        <v>1</v>
      </c>
      <c r="I91">
        <v>300</v>
      </c>
      <c r="J91">
        <f>(tblRestock[[#This Row],[discount_percent]]-MIN(tblRestock[discount_percent]))/(MAX(tblRestock[discount_percent])-MIN(tblRestock[discount_percent]))</f>
        <v>0.12</v>
      </c>
      <c r="K91">
        <f>(tblRestock[[#This Row],[selling_price]]-MIN(tblRestock[selling_price]))/(MAX(tblRestock[selling_price])-MIN(tblRestock[selling_price]))</f>
        <v>6.83453237410072E-2</v>
      </c>
      <c r="L91">
        <f>(tblRestock[[#This Row],[listing_count]]-MIN(tblRestock[listing_count]))/(MAX(tblRestock[listing_count])-MIN(tblRestock[listing_count]))</f>
        <v>0</v>
      </c>
      <c r="M91">
        <f>$B$3*tblRestock[[#This Row],[Disc_N]]+$B$4*tblRestock[[#This Row],[Price_N]]+$B$5*tblRestock[[#This Row],[Vis_N]]</f>
        <v>6.8503597122302168E-2</v>
      </c>
      <c r="N91">
        <f t="shared" si="1"/>
        <v>175</v>
      </c>
    </row>
    <row r="92" spans="1:14">
      <c r="A92">
        <v>571</v>
      </c>
      <c r="B92" t="s">
        <v>108</v>
      </c>
      <c r="C92" t="s">
        <v>1575</v>
      </c>
      <c r="D92">
        <v>50</v>
      </c>
      <c r="E92">
        <v>47</v>
      </c>
      <c r="F92">
        <v>6</v>
      </c>
      <c r="G92">
        <v>2</v>
      </c>
      <c r="H92">
        <v>2</v>
      </c>
      <c r="I92">
        <v>200</v>
      </c>
      <c r="J92">
        <f>(tblRestock[[#This Row],[discount_percent]]-MIN(tblRestock[discount_percent]))/(MAX(tblRestock[discount_percent])-MIN(tblRestock[discount_percent]))</f>
        <v>0.12</v>
      </c>
      <c r="K92">
        <f>(tblRestock[[#This Row],[selling_price]]-MIN(tblRestock[selling_price]))/(MAX(tblRestock[selling_price])-MIN(tblRestock[selling_price]))</f>
        <v>6.83453237410072E-2</v>
      </c>
      <c r="L92">
        <f>(tblRestock[[#This Row],[listing_count]]-MIN(tblRestock[listing_count]))/(MAX(tblRestock[listing_count])-MIN(tblRestock[listing_count]))</f>
        <v>0.2</v>
      </c>
      <c r="M92">
        <f>$B$3*tblRestock[[#This Row],[Disc_N]]+$B$4*tblRestock[[#This Row],[Price_N]]+$B$5*tblRestock[[#This Row],[Vis_N]]</f>
        <v>0.12850359712230217</v>
      </c>
      <c r="N92">
        <f t="shared" si="1"/>
        <v>116</v>
      </c>
    </row>
    <row r="93" spans="1:14">
      <c r="A93">
        <v>587</v>
      </c>
      <c r="B93" t="s">
        <v>1647</v>
      </c>
      <c r="C93" t="s">
        <v>1571</v>
      </c>
      <c r="D93">
        <v>48</v>
      </c>
      <c r="E93">
        <v>45</v>
      </c>
      <c r="F93">
        <v>6</v>
      </c>
      <c r="G93">
        <v>5</v>
      </c>
      <c r="H93">
        <v>5</v>
      </c>
      <c r="I93">
        <v>240</v>
      </c>
      <c r="J93">
        <f>(tblRestock[[#This Row],[discount_percent]]-MIN(tblRestock[discount_percent]))/(MAX(tblRestock[discount_percent])-MIN(tblRestock[discount_percent]))</f>
        <v>0.12</v>
      </c>
      <c r="K93">
        <f>(tblRestock[[#This Row],[selling_price]]-MIN(tblRestock[selling_price]))/(MAX(tblRestock[selling_price])-MIN(tblRestock[selling_price]))</f>
        <v>6.4748201438848921E-2</v>
      </c>
      <c r="L93">
        <f>(tblRestock[[#This Row],[listing_count]]-MIN(tblRestock[listing_count]))/(MAX(tblRestock[listing_count])-MIN(tblRestock[listing_count]))</f>
        <v>0.8</v>
      </c>
      <c r="M93">
        <f>$B$3*tblRestock[[#This Row],[Disc_N]]+$B$4*tblRestock[[#This Row],[Price_N]]+$B$5*tblRestock[[#This Row],[Vis_N]]</f>
        <v>0.30742446043165467</v>
      </c>
      <c r="N93">
        <f t="shared" si="1"/>
        <v>16</v>
      </c>
    </row>
    <row r="94" spans="1:14">
      <c r="A94">
        <v>555</v>
      </c>
      <c r="B94" t="s">
        <v>1648</v>
      </c>
      <c r="C94" t="s">
        <v>1575</v>
      </c>
      <c r="D94">
        <v>44</v>
      </c>
      <c r="E94">
        <v>41</v>
      </c>
      <c r="F94">
        <v>6</v>
      </c>
      <c r="G94">
        <v>2</v>
      </c>
      <c r="H94">
        <v>2</v>
      </c>
      <c r="I94">
        <v>500</v>
      </c>
      <c r="J94">
        <f>(tblRestock[[#This Row],[discount_percent]]-MIN(tblRestock[discount_percent]))/(MAX(tblRestock[discount_percent])-MIN(tblRestock[discount_percent]))</f>
        <v>0.12</v>
      </c>
      <c r="K94">
        <f>(tblRestock[[#This Row],[selling_price]]-MIN(tblRestock[selling_price]))/(MAX(tblRestock[selling_price])-MIN(tblRestock[selling_price]))</f>
        <v>5.7553956834532377E-2</v>
      </c>
      <c r="L94">
        <f>(tblRestock[[#This Row],[listing_count]]-MIN(tblRestock[listing_count]))/(MAX(tblRestock[listing_count])-MIN(tblRestock[listing_count]))</f>
        <v>0.2</v>
      </c>
      <c r="M94">
        <f>$B$3*tblRestock[[#This Row],[Disc_N]]+$B$4*tblRestock[[#This Row],[Price_N]]+$B$5*tblRestock[[#This Row],[Vis_N]]</f>
        <v>0.12526618705035972</v>
      </c>
      <c r="N94">
        <f t="shared" si="1"/>
        <v>119</v>
      </c>
    </row>
    <row r="95" spans="1:14">
      <c r="A95">
        <v>2599</v>
      </c>
      <c r="B95" t="s">
        <v>1649</v>
      </c>
      <c r="C95" t="s">
        <v>19</v>
      </c>
      <c r="D95">
        <v>215</v>
      </c>
      <c r="E95">
        <v>204</v>
      </c>
      <c r="F95">
        <v>5</v>
      </c>
      <c r="G95">
        <v>1</v>
      </c>
      <c r="H95">
        <v>1</v>
      </c>
      <c r="I95">
        <v>500</v>
      </c>
      <c r="J95">
        <f>(tblRestock[[#This Row],[discount_percent]]-MIN(tblRestock[discount_percent]))/(MAX(tblRestock[discount_percent])-MIN(tblRestock[discount_percent]))</f>
        <v>0.1</v>
      </c>
      <c r="K95">
        <f>(tblRestock[[#This Row],[selling_price]]-MIN(tblRestock[selling_price]))/(MAX(tblRestock[selling_price])-MIN(tblRestock[selling_price]))</f>
        <v>0.35071942446043164</v>
      </c>
      <c r="L95">
        <f>(tblRestock[[#This Row],[listing_count]]-MIN(tblRestock[listing_count]))/(MAX(tblRestock[listing_count])-MIN(tblRestock[listing_count]))</f>
        <v>0</v>
      </c>
      <c r="M95">
        <f>$B$3*tblRestock[[#This Row],[Disc_N]]+$B$4*tblRestock[[#This Row],[Price_N]]+$B$5*tblRestock[[#This Row],[Vis_N]]</f>
        <v>0.14521582733812949</v>
      </c>
      <c r="N95">
        <f t="shared" si="1"/>
        <v>103</v>
      </c>
    </row>
    <row r="96" spans="1:14">
      <c r="A96">
        <v>93</v>
      </c>
      <c r="B96" t="s">
        <v>1650</v>
      </c>
      <c r="C96" t="s">
        <v>1651</v>
      </c>
      <c r="D96">
        <v>160</v>
      </c>
      <c r="E96">
        <v>152</v>
      </c>
      <c r="F96">
        <v>5</v>
      </c>
      <c r="G96">
        <v>4</v>
      </c>
      <c r="H96">
        <v>4</v>
      </c>
      <c r="I96">
        <v>1000</v>
      </c>
      <c r="J96">
        <f>(tblRestock[[#This Row],[discount_percent]]-MIN(tblRestock[discount_percent]))/(MAX(tblRestock[discount_percent])-MIN(tblRestock[discount_percent]))</f>
        <v>0.1</v>
      </c>
      <c r="K96">
        <f>(tblRestock[[#This Row],[selling_price]]-MIN(tblRestock[selling_price]))/(MAX(tblRestock[selling_price])-MIN(tblRestock[selling_price]))</f>
        <v>0.25719424460431656</v>
      </c>
      <c r="L96">
        <f>(tblRestock[[#This Row],[listing_count]]-MIN(tblRestock[listing_count]))/(MAX(tblRestock[listing_count])-MIN(tblRestock[listing_count]))</f>
        <v>0.6</v>
      </c>
      <c r="M96">
        <f>$B$3*tblRestock[[#This Row],[Disc_N]]+$B$4*tblRestock[[#This Row],[Price_N]]+$B$5*tblRestock[[#This Row],[Vis_N]]</f>
        <v>0.29715827338129497</v>
      </c>
      <c r="N96">
        <f t="shared" si="1"/>
        <v>18</v>
      </c>
    </row>
    <row r="97" spans="1:14">
      <c r="A97">
        <v>1757</v>
      </c>
      <c r="B97" t="s">
        <v>1652</v>
      </c>
      <c r="C97" t="s">
        <v>1577</v>
      </c>
      <c r="D97">
        <v>160</v>
      </c>
      <c r="E97">
        <v>152</v>
      </c>
      <c r="F97">
        <v>5</v>
      </c>
      <c r="G97">
        <v>3</v>
      </c>
      <c r="H97">
        <v>3</v>
      </c>
      <c r="I97">
        <v>320</v>
      </c>
      <c r="J97">
        <f>(tblRestock[[#This Row],[discount_percent]]-MIN(tblRestock[discount_percent]))/(MAX(tblRestock[discount_percent])-MIN(tblRestock[discount_percent]))</f>
        <v>0.1</v>
      </c>
      <c r="K97">
        <f>(tblRestock[[#This Row],[selling_price]]-MIN(tblRestock[selling_price]))/(MAX(tblRestock[selling_price])-MIN(tblRestock[selling_price]))</f>
        <v>0.25719424460431656</v>
      </c>
      <c r="L97">
        <f>(tblRestock[[#This Row],[listing_count]]-MIN(tblRestock[listing_count]))/(MAX(tblRestock[listing_count])-MIN(tblRestock[listing_count]))</f>
        <v>0.4</v>
      </c>
      <c r="M97">
        <f>$B$3*tblRestock[[#This Row],[Disc_N]]+$B$4*tblRestock[[#This Row],[Price_N]]+$B$5*tblRestock[[#This Row],[Vis_N]]</f>
        <v>0.23715827338129497</v>
      </c>
      <c r="N97">
        <f t="shared" si="1"/>
        <v>37</v>
      </c>
    </row>
    <row r="98" spans="1:14">
      <c r="A98">
        <v>1240</v>
      </c>
      <c r="B98" t="s">
        <v>1653</v>
      </c>
      <c r="C98" t="s">
        <v>1569</v>
      </c>
      <c r="D98">
        <v>125</v>
      </c>
      <c r="E98">
        <v>118</v>
      </c>
      <c r="F98">
        <v>5</v>
      </c>
      <c r="G98">
        <v>2</v>
      </c>
      <c r="H98">
        <v>2</v>
      </c>
      <c r="I98">
        <v>200</v>
      </c>
      <c r="J98">
        <f>(tblRestock[[#This Row],[discount_percent]]-MIN(tblRestock[discount_percent]))/(MAX(tblRestock[discount_percent])-MIN(tblRestock[discount_percent]))</f>
        <v>0.1</v>
      </c>
      <c r="K98">
        <f>(tblRestock[[#This Row],[selling_price]]-MIN(tblRestock[selling_price]))/(MAX(tblRestock[selling_price])-MIN(tblRestock[selling_price]))</f>
        <v>0.1960431654676259</v>
      </c>
      <c r="L98">
        <f>(tblRestock[[#This Row],[listing_count]]-MIN(tblRestock[listing_count]))/(MAX(tblRestock[listing_count])-MIN(tblRestock[listing_count]))</f>
        <v>0.2</v>
      </c>
      <c r="M98">
        <f>$B$3*tblRestock[[#This Row],[Disc_N]]+$B$4*tblRestock[[#This Row],[Price_N]]+$B$5*tblRestock[[#This Row],[Vis_N]]</f>
        <v>0.15881294964028778</v>
      </c>
      <c r="N98">
        <f t="shared" si="1"/>
        <v>86</v>
      </c>
    </row>
    <row r="99" spans="1:14">
      <c r="A99">
        <v>1244</v>
      </c>
      <c r="B99" t="s">
        <v>1654</v>
      </c>
      <c r="C99" t="s">
        <v>1569</v>
      </c>
      <c r="D99">
        <v>100</v>
      </c>
      <c r="E99">
        <v>95</v>
      </c>
      <c r="F99">
        <v>5</v>
      </c>
      <c r="G99">
        <v>2</v>
      </c>
      <c r="H99">
        <v>2</v>
      </c>
      <c r="I99">
        <v>140</v>
      </c>
      <c r="J99">
        <f>(tblRestock[[#This Row],[discount_percent]]-MIN(tblRestock[discount_percent]))/(MAX(tblRestock[discount_percent])-MIN(tblRestock[discount_percent]))</f>
        <v>0.1</v>
      </c>
      <c r="K99">
        <f>(tblRestock[[#This Row],[selling_price]]-MIN(tblRestock[selling_price]))/(MAX(tblRestock[selling_price])-MIN(tblRestock[selling_price]))</f>
        <v>0.15467625899280577</v>
      </c>
      <c r="L99">
        <f>(tblRestock[[#This Row],[listing_count]]-MIN(tblRestock[listing_count]))/(MAX(tblRestock[listing_count])-MIN(tblRestock[listing_count]))</f>
        <v>0.2</v>
      </c>
      <c r="M99">
        <f>$B$3*tblRestock[[#This Row],[Disc_N]]+$B$4*tblRestock[[#This Row],[Price_N]]+$B$5*tblRestock[[#This Row],[Vis_N]]</f>
        <v>0.14640287769784174</v>
      </c>
      <c r="N99">
        <f t="shared" si="1"/>
        <v>101</v>
      </c>
    </row>
    <row r="100" spans="1:14">
      <c r="A100">
        <v>1739</v>
      </c>
      <c r="B100" t="s">
        <v>1655</v>
      </c>
      <c r="C100" t="s">
        <v>1577</v>
      </c>
      <c r="D100">
        <v>60</v>
      </c>
      <c r="E100">
        <v>57</v>
      </c>
      <c r="F100">
        <v>5</v>
      </c>
      <c r="G100">
        <v>3</v>
      </c>
      <c r="H100">
        <v>3</v>
      </c>
      <c r="I100">
        <v>200</v>
      </c>
      <c r="J100">
        <f>(tblRestock[[#This Row],[discount_percent]]-MIN(tblRestock[discount_percent]))/(MAX(tblRestock[discount_percent])-MIN(tblRestock[discount_percent]))</f>
        <v>0.1</v>
      </c>
      <c r="K100">
        <f>(tblRestock[[#This Row],[selling_price]]-MIN(tblRestock[selling_price]))/(MAX(tblRestock[selling_price])-MIN(tblRestock[selling_price]))</f>
        <v>8.6330935251798566E-2</v>
      </c>
      <c r="L100">
        <f>(tblRestock[[#This Row],[listing_count]]-MIN(tblRestock[listing_count]))/(MAX(tblRestock[listing_count])-MIN(tblRestock[listing_count]))</f>
        <v>0.4</v>
      </c>
      <c r="M100">
        <f>$B$3*tblRestock[[#This Row],[Disc_N]]+$B$4*tblRestock[[#This Row],[Price_N]]+$B$5*tblRestock[[#This Row],[Vis_N]]</f>
        <v>0.18589928057553956</v>
      </c>
      <c r="N100">
        <f t="shared" si="1"/>
        <v>66</v>
      </c>
    </row>
    <row r="101" spans="1:14">
      <c r="A101">
        <v>1727</v>
      </c>
      <c r="B101" t="s">
        <v>1656</v>
      </c>
      <c r="C101" t="s">
        <v>1577</v>
      </c>
      <c r="D101">
        <v>60</v>
      </c>
      <c r="E101">
        <v>57</v>
      </c>
      <c r="F101">
        <v>5</v>
      </c>
      <c r="G101">
        <v>3</v>
      </c>
      <c r="H101">
        <v>3</v>
      </c>
      <c r="I101">
        <v>200</v>
      </c>
      <c r="J101">
        <f>(tblRestock[[#This Row],[discount_percent]]-MIN(tblRestock[discount_percent]))/(MAX(tblRestock[discount_percent])-MIN(tblRestock[discount_percent]))</f>
        <v>0.1</v>
      </c>
      <c r="K101">
        <f>(tblRestock[[#This Row],[selling_price]]-MIN(tblRestock[selling_price]))/(MAX(tblRestock[selling_price])-MIN(tblRestock[selling_price]))</f>
        <v>8.6330935251798566E-2</v>
      </c>
      <c r="L101">
        <f>(tblRestock[[#This Row],[listing_count]]-MIN(tblRestock[listing_count]))/(MAX(tblRestock[listing_count])-MIN(tblRestock[listing_count]))</f>
        <v>0.4</v>
      </c>
      <c r="M101">
        <f>$B$3*tblRestock[[#This Row],[Disc_N]]+$B$4*tblRestock[[#This Row],[Price_N]]+$B$5*tblRestock[[#This Row],[Vis_N]]</f>
        <v>0.18589928057553956</v>
      </c>
      <c r="N101">
        <f t="shared" si="1"/>
        <v>65</v>
      </c>
    </row>
    <row r="102" spans="1:14">
      <c r="A102">
        <v>91</v>
      </c>
      <c r="B102" t="s">
        <v>1657</v>
      </c>
      <c r="C102" t="s">
        <v>1651</v>
      </c>
      <c r="D102">
        <v>60</v>
      </c>
      <c r="E102">
        <v>57</v>
      </c>
      <c r="F102">
        <v>5</v>
      </c>
      <c r="G102">
        <v>4</v>
      </c>
      <c r="H102">
        <v>4</v>
      </c>
      <c r="I102">
        <v>500</v>
      </c>
      <c r="J102">
        <f>(tblRestock[[#This Row],[discount_percent]]-MIN(tblRestock[discount_percent]))/(MAX(tblRestock[discount_percent])-MIN(tblRestock[discount_percent]))</f>
        <v>0.1</v>
      </c>
      <c r="K102">
        <f>(tblRestock[[#This Row],[selling_price]]-MIN(tblRestock[selling_price]))/(MAX(tblRestock[selling_price])-MIN(tblRestock[selling_price]))</f>
        <v>8.6330935251798566E-2</v>
      </c>
      <c r="L102">
        <f>(tblRestock[[#This Row],[listing_count]]-MIN(tblRestock[listing_count]))/(MAX(tblRestock[listing_count])-MIN(tblRestock[listing_count]))</f>
        <v>0.6</v>
      </c>
      <c r="M102">
        <f>$B$3*tblRestock[[#This Row],[Disc_N]]+$B$4*tblRestock[[#This Row],[Price_N]]+$B$5*tblRestock[[#This Row],[Vis_N]]</f>
        <v>0.24589928057553956</v>
      </c>
      <c r="N102">
        <f t="shared" si="1"/>
        <v>34</v>
      </c>
    </row>
    <row r="103" spans="1:14">
      <c r="A103">
        <v>2718</v>
      </c>
      <c r="B103" t="s">
        <v>133</v>
      </c>
      <c r="C103" t="s">
        <v>14</v>
      </c>
      <c r="D103">
        <v>40</v>
      </c>
      <c r="E103">
        <v>38</v>
      </c>
      <c r="F103">
        <v>5</v>
      </c>
      <c r="G103">
        <v>1</v>
      </c>
      <c r="H103">
        <v>1</v>
      </c>
      <c r="I103">
        <v>200</v>
      </c>
      <c r="J103">
        <f>(tblRestock[[#This Row],[discount_percent]]-MIN(tblRestock[discount_percent]))/(MAX(tblRestock[discount_percent])-MIN(tblRestock[discount_percent]))</f>
        <v>0.1</v>
      </c>
      <c r="K103">
        <f>(tblRestock[[#This Row],[selling_price]]-MIN(tblRestock[selling_price]))/(MAX(tblRestock[selling_price])-MIN(tblRestock[selling_price]))</f>
        <v>5.2158273381294966E-2</v>
      </c>
      <c r="L103">
        <f>(tblRestock[[#This Row],[listing_count]]-MIN(tblRestock[listing_count]))/(MAX(tblRestock[listing_count])-MIN(tblRestock[listing_count]))</f>
        <v>0</v>
      </c>
      <c r="M103">
        <f>$B$3*tblRestock[[#This Row],[Disc_N]]+$B$4*tblRestock[[#This Row],[Price_N]]+$B$5*tblRestock[[#This Row],[Vis_N]]</f>
        <v>5.5647482014388495E-2</v>
      </c>
      <c r="N103">
        <f t="shared" si="1"/>
        <v>181</v>
      </c>
    </row>
    <row r="104" spans="1:14">
      <c r="A104">
        <v>606</v>
      </c>
      <c r="B104" t="s">
        <v>1658</v>
      </c>
      <c r="C104" t="s">
        <v>1659</v>
      </c>
      <c r="D104">
        <v>150</v>
      </c>
      <c r="E104">
        <v>143</v>
      </c>
      <c r="F104">
        <v>4</v>
      </c>
      <c r="G104">
        <v>6</v>
      </c>
      <c r="H104">
        <v>6</v>
      </c>
      <c r="I104">
        <v>250</v>
      </c>
      <c r="J104">
        <f>(tblRestock[[#This Row],[discount_percent]]-MIN(tblRestock[discount_percent]))/(MAX(tblRestock[discount_percent])-MIN(tblRestock[discount_percent]))</f>
        <v>0.08</v>
      </c>
      <c r="K104">
        <f>(tblRestock[[#This Row],[selling_price]]-MIN(tblRestock[selling_price]))/(MAX(tblRestock[selling_price])-MIN(tblRestock[selling_price]))</f>
        <v>0.24100719424460432</v>
      </c>
      <c r="L104">
        <f>(tblRestock[[#This Row],[listing_count]]-MIN(tblRestock[listing_count]))/(MAX(tblRestock[listing_count])-MIN(tblRestock[listing_count]))</f>
        <v>1</v>
      </c>
      <c r="M104">
        <f>$B$3*tblRestock[[#This Row],[Disc_N]]+$B$4*tblRestock[[#This Row],[Price_N]]+$B$5*tblRestock[[#This Row],[Vis_N]]</f>
        <v>0.40430215827338128</v>
      </c>
      <c r="N104">
        <f t="shared" si="1"/>
        <v>7</v>
      </c>
    </row>
    <row r="105" spans="1:14">
      <c r="A105">
        <v>1758</v>
      </c>
      <c r="B105" t="s">
        <v>101</v>
      </c>
      <c r="C105" t="s">
        <v>1577</v>
      </c>
      <c r="D105">
        <v>115</v>
      </c>
      <c r="E105">
        <v>110</v>
      </c>
      <c r="F105">
        <v>4</v>
      </c>
      <c r="G105">
        <v>3</v>
      </c>
      <c r="H105">
        <v>3</v>
      </c>
      <c r="I105">
        <v>400</v>
      </c>
      <c r="J105">
        <f>(tblRestock[[#This Row],[discount_percent]]-MIN(tblRestock[discount_percent]))/(MAX(tblRestock[discount_percent])-MIN(tblRestock[discount_percent]))</f>
        <v>0.08</v>
      </c>
      <c r="K105">
        <f>(tblRestock[[#This Row],[selling_price]]-MIN(tblRestock[selling_price]))/(MAX(tblRestock[selling_price])-MIN(tblRestock[selling_price]))</f>
        <v>0.18165467625899281</v>
      </c>
      <c r="L105">
        <f>(tblRestock[[#This Row],[listing_count]]-MIN(tblRestock[listing_count]))/(MAX(tblRestock[listing_count])-MIN(tblRestock[listing_count]))</f>
        <v>0.4</v>
      </c>
      <c r="M105">
        <f>$B$3*tblRestock[[#This Row],[Disc_N]]+$B$4*tblRestock[[#This Row],[Price_N]]+$B$5*tblRestock[[#This Row],[Vis_N]]</f>
        <v>0.20649640287769783</v>
      </c>
      <c r="N105">
        <f t="shared" si="1"/>
        <v>49</v>
      </c>
    </row>
    <row r="106" spans="1:14">
      <c r="A106">
        <v>92</v>
      </c>
      <c r="B106" t="s">
        <v>1660</v>
      </c>
      <c r="C106" t="s">
        <v>1651</v>
      </c>
      <c r="D106">
        <v>41</v>
      </c>
      <c r="E106">
        <v>39</v>
      </c>
      <c r="F106">
        <v>4</v>
      </c>
      <c r="G106">
        <v>4</v>
      </c>
      <c r="H106">
        <v>4</v>
      </c>
      <c r="I106">
        <v>200</v>
      </c>
      <c r="J106">
        <f>(tblRestock[[#This Row],[discount_percent]]-MIN(tblRestock[discount_percent]))/(MAX(tblRestock[discount_percent])-MIN(tblRestock[discount_percent]))</f>
        <v>0.08</v>
      </c>
      <c r="K106">
        <f>(tblRestock[[#This Row],[selling_price]]-MIN(tblRestock[selling_price]))/(MAX(tblRestock[selling_price])-MIN(tblRestock[selling_price]))</f>
        <v>5.3956834532374098E-2</v>
      </c>
      <c r="L106">
        <f>(tblRestock[[#This Row],[listing_count]]-MIN(tblRestock[listing_count]))/(MAX(tblRestock[listing_count])-MIN(tblRestock[listing_count]))</f>
        <v>0.6</v>
      </c>
      <c r="M106">
        <f>$B$3*tblRestock[[#This Row],[Disc_N]]+$B$4*tblRestock[[#This Row],[Price_N]]+$B$5*tblRestock[[#This Row],[Vis_N]]</f>
        <v>0.22818705035971221</v>
      </c>
      <c r="N106">
        <f t="shared" si="1"/>
        <v>43</v>
      </c>
    </row>
    <row r="107" spans="1:14">
      <c r="A107">
        <v>1226</v>
      </c>
      <c r="B107" t="s">
        <v>1661</v>
      </c>
      <c r="C107" t="s">
        <v>1569</v>
      </c>
      <c r="D107">
        <v>25</v>
      </c>
      <c r="E107">
        <v>24</v>
      </c>
      <c r="F107">
        <v>4</v>
      </c>
      <c r="G107">
        <v>2</v>
      </c>
      <c r="H107">
        <v>2</v>
      </c>
      <c r="I107">
        <v>250</v>
      </c>
      <c r="J107">
        <f>(tblRestock[[#This Row],[discount_percent]]-MIN(tblRestock[discount_percent]))/(MAX(tblRestock[discount_percent])-MIN(tblRestock[discount_percent]))</f>
        <v>0.08</v>
      </c>
      <c r="K107">
        <f>(tblRestock[[#This Row],[selling_price]]-MIN(tblRestock[selling_price]))/(MAX(tblRestock[selling_price])-MIN(tblRestock[selling_price]))</f>
        <v>2.6978417266187049E-2</v>
      </c>
      <c r="L107">
        <f>(tblRestock[[#This Row],[listing_count]]-MIN(tblRestock[listing_count]))/(MAX(tblRestock[listing_count])-MIN(tblRestock[listing_count]))</f>
        <v>0.2</v>
      </c>
      <c r="M107">
        <f>$B$3*tblRestock[[#This Row],[Disc_N]]+$B$4*tblRestock[[#This Row],[Price_N]]+$B$5*tblRestock[[#This Row],[Vis_N]]</f>
        <v>0.10009352517985612</v>
      </c>
      <c r="N107">
        <f t="shared" si="1"/>
        <v>142</v>
      </c>
    </row>
    <row r="108" spans="1:14">
      <c r="A108">
        <v>3617</v>
      </c>
      <c r="B108" t="s">
        <v>107</v>
      </c>
      <c r="C108" t="s">
        <v>27</v>
      </c>
      <c r="D108">
        <v>23</v>
      </c>
      <c r="E108">
        <v>22</v>
      </c>
      <c r="F108">
        <v>4</v>
      </c>
      <c r="G108">
        <v>1</v>
      </c>
      <c r="H108">
        <v>1</v>
      </c>
      <c r="I108">
        <v>300</v>
      </c>
      <c r="J108">
        <f>(tblRestock[[#This Row],[discount_percent]]-MIN(tblRestock[discount_percent]))/(MAX(tblRestock[discount_percent])-MIN(tblRestock[discount_percent]))</f>
        <v>0.08</v>
      </c>
      <c r="K108">
        <f>(tblRestock[[#This Row],[selling_price]]-MIN(tblRestock[selling_price]))/(MAX(tblRestock[selling_price])-MIN(tblRestock[selling_price]))</f>
        <v>2.3381294964028777E-2</v>
      </c>
      <c r="L108">
        <f>(tblRestock[[#This Row],[listing_count]]-MIN(tblRestock[listing_count]))/(MAX(tblRestock[listing_count])-MIN(tblRestock[listing_count]))</f>
        <v>0</v>
      </c>
      <c r="M108">
        <f>$B$3*tblRestock[[#This Row],[Disc_N]]+$B$4*tblRestock[[#This Row],[Price_N]]+$B$5*tblRestock[[#This Row],[Vis_N]]</f>
        <v>3.9014388489208636E-2</v>
      </c>
      <c r="N108">
        <f t="shared" si="1"/>
        <v>183</v>
      </c>
    </row>
    <row r="109" spans="1:14">
      <c r="A109">
        <v>3621</v>
      </c>
      <c r="B109" t="s">
        <v>1662</v>
      </c>
      <c r="C109" t="s">
        <v>27</v>
      </c>
      <c r="D109">
        <v>136</v>
      </c>
      <c r="E109">
        <v>131</v>
      </c>
      <c r="F109">
        <v>3</v>
      </c>
      <c r="G109">
        <v>1</v>
      </c>
      <c r="H109">
        <v>1</v>
      </c>
      <c r="I109">
        <v>1000</v>
      </c>
      <c r="J109">
        <f>(tblRestock[[#This Row],[discount_percent]]-MIN(tblRestock[discount_percent]))/(MAX(tblRestock[discount_percent])-MIN(tblRestock[discount_percent]))</f>
        <v>0.06</v>
      </c>
      <c r="K109">
        <f>(tblRestock[[#This Row],[selling_price]]-MIN(tblRestock[selling_price]))/(MAX(tblRestock[selling_price])-MIN(tblRestock[selling_price]))</f>
        <v>0.21942446043165467</v>
      </c>
      <c r="L109">
        <f>(tblRestock[[#This Row],[listing_count]]-MIN(tblRestock[listing_count]))/(MAX(tblRestock[listing_count])-MIN(tblRestock[listing_count]))</f>
        <v>0</v>
      </c>
      <c r="M109">
        <f>$B$3*tblRestock[[#This Row],[Disc_N]]+$B$4*tblRestock[[#This Row],[Price_N]]+$B$5*tblRestock[[#This Row],[Vis_N]]</f>
        <v>8.9827338129496392E-2</v>
      </c>
      <c r="N109">
        <f t="shared" si="1"/>
        <v>157</v>
      </c>
    </row>
    <row r="110" spans="1:14">
      <c r="A110">
        <v>3077</v>
      </c>
      <c r="B110" t="s">
        <v>1663</v>
      </c>
      <c r="C110" t="s">
        <v>1586</v>
      </c>
      <c r="D110">
        <v>109</v>
      </c>
      <c r="E110">
        <v>105</v>
      </c>
      <c r="F110">
        <v>3</v>
      </c>
      <c r="G110">
        <v>2</v>
      </c>
      <c r="H110">
        <v>2</v>
      </c>
      <c r="I110">
        <v>750</v>
      </c>
      <c r="J110">
        <f>(tblRestock[[#This Row],[discount_percent]]-MIN(tblRestock[discount_percent]))/(MAX(tblRestock[discount_percent])-MIN(tblRestock[discount_percent]))</f>
        <v>0.06</v>
      </c>
      <c r="K110">
        <f>(tblRestock[[#This Row],[selling_price]]-MIN(tblRestock[selling_price]))/(MAX(tblRestock[selling_price])-MIN(tblRestock[selling_price]))</f>
        <v>0.17266187050359713</v>
      </c>
      <c r="L110">
        <f>(tblRestock[[#This Row],[listing_count]]-MIN(tblRestock[listing_count]))/(MAX(tblRestock[listing_count])-MIN(tblRestock[listing_count]))</f>
        <v>0.2</v>
      </c>
      <c r="M110">
        <f>$B$3*tblRestock[[#This Row],[Disc_N]]+$B$4*tblRestock[[#This Row],[Price_N]]+$B$5*tblRestock[[#This Row],[Vis_N]]</f>
        <v>0.13579856115107913</v>
      </c>
      <c r="N110">
        <f t="shared" si="1"/>
        <v>109</v>
      </c>
    </row>
    <row r="111" spans="1:14">
      <c r="A111">
        <v>3089</v>
      </c>
      <c r="B111" t="s">
        <v>176</v>
      </c>
      <c r="C111" t="s">
        <v>1620</v>
      </c>
      <c r="D111">
        <v>90</v>
      </c>
      <c r="E111">
        <v>87</v>
      </c>
      <c r="F111">
        <v>3</v>
      </c>
      <c r="G111">
        <v>3</v>
      </c>
      <c r="H111">
        <v>3</v>
      </c>
      <c r="I111">
        <v>58</v>
      </c>
      <c r="J111">
        <f>(tblRestock[[#This Row],[discount_percent]]-MIN(tblRestock[discount_percent]))/(MAX(tblRestock[discount_percent])-MIN(tblRestock[discount_percent]))</f>
        <v>0.06</v>
      </c>
      <c r="K111">
        <f>(tblRestock[[#This Row],[selling_price]]-MIN(tblRestock[selling_price]))/(MAX(tblRestock[selling_price])-MIN(tblRestock[selling_price]))</f>
        <v>0.14028776978417265</v>
      </c>
      <c r="L111">
        <f>(tblRestock[[#This Row],[listing_count]]-MIN(tblRestock[listing_count]))/(MAX(tblRestock[listing_count])-MIN(tblRestock[listing_count]))</f>
        <v>0.4</v>
      </c>
      <c r="M111">
        <f>$B$3*tblRestock[[#This Row],[Disc_N]]+$B$4*tblRestock[[#This Row],[Price_N]]+$B$5*tblRestock[[#This Row],[Vis_N]]</f>
        <v>0.18608633093525179</v>
      </c>
      <c r="N111">
        <f t="shared" si="1"/>
        <v>64</v>
      </c>
    </row>
    <row r="112" spans="1:14">
      <c r="A112">
        <v>1242</v>
      </c>
      <c r="B112" t="s">
        <v>1664</v>
      </c>
      <c r="C112" t="s">
        <v>1580</v>
      </c>
      <c r="D112">
        <v>85</v>
      </c>
      <c r="E112">
        <v>82</v>
      </c>
      <c r="F112">
        <v>3</v>
      </c>
      <c r="G112">
        <v>5</v>
      </c>
      <c r="H112">
        <v>5</v>
      </c>
      <c r="I112">
        <v>200</v>
      </c>
      <c r="J112">
        <f>(tblRestock[[#This Row],[discount_percent]]-MIN(tblRestock[discount_percent]))/(MAX(tblRestock[discount_percent])-MIN(tblRestock[discount_percent]))</f>
        <v>0.06</v>
      </c>
      <c r="K112">
        <f>(tblRestock[[#This Row],[selling_price]]-MIN(tblRestock[selling_price]))/(MAX(tblRestock[selling_price])-MIN(tblRestock[selling_price]))</f>
        <v>0.13129496402877697</v>
      </c>
      <c r="L112">
        <f>(tblRestock[[#This Row],[listing_count]]-MIN(tblRestock[listing_count]))/(MAX(tblRestock[listing_count])-MIN(tblRestock[listing_count]))</f>
        <v>0.8</v>
      </c>
      <c r="M112">
        <f>$B$3*tblRestock[[#This Row],[Disc_N]]+$B$4*tblRestock[[#This Row],[Price_N]]+$B$5*tblRestock[[#This Row],[Vis_N]]</f>
        <v>0.30338848920863309</v>
      </c>
      <c r="N112">
        <f t="shared" si="1"/>
        <v>17</v>
      </c>
    </row>
    <row r="113" spans="1:14">
      <c r="A113">
        <v>1232</v>
      </c>
      <c r="B113" t="s">
        <v>1665</v>
      </c>
      <c r="C113" t="s">
        <v>1569</v>
      </c>
      <c r="D113">
        <v>78</v>
      </c>
      <c r="E113">
        <v>75</v>
      </c>
      <c r="F113">
        <v>3</v>
      </c>
      <c r="G113">
        <v>2</v>
      </c>
      <c r="H113">
        <v>2</v>
      </c>
      <c r="I113">
        <v>400</v>
      </c>
      <c r="J113">
        <f>(tblRestock[[#This Row],[discount_percent]]-MIN(tblRestock[discount_percent]))/(MAX(tblRestock[discount_percent])-MIN(tblRestock[discount_percent]))</f>
        <v>0.06</v>
      </c>
      <c r="K113">
        <f>(tblRestock[[#This Row],[selling_price]]-MIN(tblRestock[selling_price]))/(MAX(tblRestock[selling_price])-MIN(tblRestock[selling_price]))</f>
        <v>0.11870503597122302</v>
      </c>
      <c r="L113">
        <f>(tblRestock[[#This Row],[listing_count]]-MIN(tblRestock[listing_count]))/(MAX(tblRestock[listing_count])-MIN(tblRestock[listing_count]))</f>
        <v>0.2</v>
      </c>
      <c r="M113">
        <f>$B$3*tblRestock[[#This Row],[Disc_N]]+$B$4*tblRestock[[#This Row],[Price_N]]+$B$5*tblRestock[[#This Row],[Vis_N]]</f>
        <v>0.11961151079136689</v>
      </c>
      <c r="N113">
        <f t="shared" si="1"/>
        <v>125</v>
      </c>
    </row>
    <row r="114" spans="1:14">
      <c r="A114">
        <v>1223</v>
      </c>
      <c r="B114" t="s">
        <v>1666</v>
      </c>
      <c r="C114" t="s">
        <v>1569</v>
      </c>
      <c r="D114">
        <v>76</v>
      </c>
      <c r="E114">
        <v>73</v>
      </c>
      <c r="F114">
        <v>3</v>
      </c>
      <c r="G114">
        <v>2</v>
      </c>
      <c r="H114">
        <v>2</v>
      </c>
      <c r="I114">
        <v>200</v>
      </c>
      <c r="J114">
        <f>(tblRestock[[#This Row],[discount_percent]]-MIN(tblRestock[discount_percent]))/(MAX(tblRestock[discount_percent])-MIN(tblRestock[discount_percent]))</f>
        <v>0.06</v>
      </c>
      <c r="K114">
        <f>(tblRestock[[#This Row],[selling_price]]-MIN(tblRestock[selling_price]))/(MAX(tblRestock[selling_price])-MIN(tblRestock[selling_price]))</f>
        <v>0.11510791366906475</v>
      </c>
      <c r="L114">
        <f>(tblRestock[[#This Row],[listing_count]]-MIN(tblRestock[listing_count]))/(MAX(tblRestock[listing_count])-MIN(tblRestock[listing_count]))</f>
        <v>0.2</v>
      </c>
      <c r="M114">
        <f>$B$3*tblRestock[[#This Row],[Disc_N]]+$B$4*tblRestock[[#This Row],[Price_N]]+$B$5*tblRestock[[#This Row],[Vis_N]]</f>
        <v>0.11853237410071943</v>
      </c>
      <c r="N114">
        <f t="shared" si="1"/>
        <v>127</v>
      </c>
    </row>
    <row r="115" spans="1:14">
      <c r="A115">
        <v>1224</v>
      </c>
      <c r="B115" t="s">
        <v>1667</v>
      </c>
      <c r="C115" t="s">
        <v>1569</v>
      </c>
      <c r="D115">
        <v>66</v>
      </c>
      <c r="E115">
        <v>64</v>
      </c>
      <c r="F115">
        <v>3</v>
      </c>
      <c r="G115">
        <v>2</v>
      </c>
      <c r="H115">
        <v>2</v>
      </c>
      <c r="I115">
        <v>1000</v>
      </c>
      <c r="J115">
        <f>(tblRestock[[#This Row],[discount_percent]]-MIN(tblRestock[discount_percent]))/(MAX(tblRestock[discount_percent])-MIN(tblRestock[discount_percent]))</f>
        <v>0.06</v>
      </c>
      <c r="K115">
        <f>(tblRestock[[#This Row],[selling_price]]-MIN(tblRestock[selling_price]))/(MAX(tblRestock[selling_price])-MIN(tblRestock[selling_price]))</f>
        <v>9.8920863309352514E-2</v>
      </c>
      <c r="L115">
        <f>(tblRestock[[#This Row],[listing_count]]-MIN(tblRestock[listing_count]))/(MAX(tblRestock[listing_count])-MIN(tblRestock[listing_count]))</f>
        <v>0.2</v>
      </c>
      <c r="M115">
        <f>$B$3*tblRestock[[#This Row],[Disc_N]]+$B$4*tblRestock[[#This Row],[Price_N]]+$B$5*tblRestock[[#This Row],[Vis_N]]</f>
        <v>0.11367625899280576</v>
      </c>
      <c r="N115">
        <f t="shared" si="1"/>
        <v>131</v>
      </c>
    </row>
    <row r="116" spans="1:14">
      <c r="A116">
        <v>1755</v>
      </c>
      <c r="B116" t="s">
        <v>1668</v>
      </c>
      <c r="C116" t="s">
        <v>1577</v>
      </c>
      <c r="D116">
        <v>55</v>
      </c>
      <c r="E116">
        <v>53</v>
      </c>
      <c r="F116">
        <v>3</v>
      </c>
      <c r="G116">
        <v>3</v>
      </c>
      <c r="H116">
        <v>3</v>
      </c>
      <c r="I116">
        <v>180</v>
      </c>
      <c r="J116">
        <f>(tblRestock[[#This Row],[discount_percent]]-MIN(tblRestock[discount_percent]))/(MAX(tblRestock[discount_percent])-MIN(tblRestock[discount_percent]))</f>
        <v>0.06</v>
      </c>
      <c r="K116">
        <f>(tblRestock[[#This Row],[selling_price]]-MIN(tblRestock[selling_price]))/(MAX(tblRestock[selling_price])-MIN(tblRestock[selling_price]))</f>
        <v>7.9136690647482008E-2</v>
      </c>
      <c r="L116">
        <f>(tblRestock[[#This Row],[listing_count]]-MIN(tblRestock[listing_count]))/(MAX(tblRestock[listing_count])-MIN(tblRestock[listing_count]))</f>
        <v>0.4</v>
      </c>
      <c r="M116">
        <f>$B$3*tblRestock[[#This Row],[Disc_N]]+$B$4*tblRestock[[#This Row],[Price_N]]+$B$5*tblRestock[[#This Row],[Vis_N]]</f>
        <v>0.16774100719424459</v>
      </c>
      <c r="N116">
        <f t="shared" si="1"/>
        <v>74</v>
      </c>
    </row>
    <row r="117" spans="1:14">
      <c r="A117">
        <v>561</v>
      </c>
      <c r="B117" t="s">
        <v>112</v>
      </c>
      <c r="C117" t="s">
        <v>1575</v>
      </c>
      <c r="D117">
        <v>32</v>
      </c>
      <c r="E117">
        <v>31</v>
      </c>
      <c r="F117">
        <v>3</v>
      </c>
      <c r="G117">
        <v>2</v>
      </c>
      <c r="H117">
        <v>2</v>
      </c>
      <c r="I117">
        <v>100</v>
      </c>
      <c r="J117">
        <f>(tblRestock[[#This Row],[discount_percent]]-MIN(tblRestock[discount_percent]))/(MAX(tblRestock[discount_percent])-MIN(tblRestock[discount_percent]))</f>
        <v>0.06</v>
      </c>
      <c r="K117">
        <f>(tblRestock[[#This Row],[selling_price]]-MIN(tblRestock[selling_price]))/(MAX(tblRestock[selling_price])-MIN(tblRestock[selling_price]))</f>
        <v>3.9568345323741004E-2</v>
      </c>
      <c r="L117">
        <f>(tblRestock[[#This Row],[listing_count]]-MIN(tblRestock[listing_count]))/(MAX(tblRestock[listing_count])-MIN(tblRestock[listing_count]))</f>
        <v>0.2</v>
      </c>
      <c r="M117">
        <f>$B$3*tblRestock[[#This Row],[Disc_N]]+$B$4*tblRestock[[#This Row],[Price_N]]+$B$5*tblRestock[[#This Row],[Vis_N]]</f>
        <v>9.5870503597122292E-2</v>
      </c>
      <c r="N117">
        <f t="shared" si="1"/>
        <v>150</v>
      </c>
    </row>
    <row r="118" spans="1:14">
      <c r="A118">
        <v>2744</v>
      </c>
      <c r="B118" t="s">
        <v>1669</v>
      </c>
      <c r="C118" t="s">
        <v>14</v>
      </c>
      <c r="D118">
        <v>30</v>
      </c>
      <c r="E118">
        <v>29</v>
      </c>
      <c r="F118">
        <v>3</v>
      </c>
      <c r="G118">
        <v>1</v>
      </c>
      <c r="H118">
        <v>1</v>
      </c>
      <c r="I118">
        <v>120</v>
      </c>
      <c r="J118">
        <f>(tblRestock[[#This Row],[discount_percent]]-MIN(tblRestock[discount_percent]))/(MAX(tblRestock[discount_percent])-MIN(tblRestock[discount_percent]))</f>
        <v>0.06</v>
      </c>
      <c r="K118">
        <f>(tblRestock[[#This Row],[selling_price]]-MIN(tblRestock[selling_price]))/(MAX(tblRestock[selling_price])-MIN(tblRestock[selling_price]))</f>
        <v>3.5971223021582732E-2</v>
      </c>
      <c r="L118">
        <f>(tblRestock[[#This Row],[listing_count]]-MIN(tblRestock[listing_count]))/(MAX(tblRestock[listing_count])-MIN(tblRestock[listing_count]))</f>
        <v>0</v>
      </c>
      <c r="M118">
        <f>$B$3*tblRestock[[#This Row],[Disc_N]]+$B$4*tblRestock[[#This Row],[Price_N]]+$B$5*tblRestock[[#This Row],[Vis_N]]</f>
        <v>3.4791366906474816E-2</v>
      </c>
      <c r="N118">
        <f t="shared" si="1"/>
        <v>188</v>
      </c>
    </row>
    <row r="119" spans="1:14">
      <c r="A119">
        <v>2733</v>
      </c>
      <c r="B119" t="s">
        <v>1670</v>
      </c>
      <c r="C119" t="s">
        <v>14</v>
      </c>
      <c r="D119">
        <v>30</v>
      </c>
      <c r="E119">
        <v>29</v>
      </c>
      <c r="F119">
        <v>3</v>
      </c>
      <c r="G119">
        <v>1</v>
      </c>
      <c r="H119">
        <v>1</v>
      </c>
      <c r="I119">
        <v>120</v>
      </c>
      <c r="J119">
        <f>(tblRestock[[#This Row],[discount_percent]]-MIN(tblRestock[discount_percent]))/(MAX(tblRestock[discount_percent])-MIN(tblRestock[discount_percent]))</f>
        <v>0.06</v>
      </c>
      <c r="K119">
        <f>(tblRestock[[#This Row],[selling_price]]-MIN(tblRestock[selling_price]))/(MAX(tblRestock[selling_price])-MIN(tblRestock[selling_price]))</f>
        <v>3.5971223021582732E-2</v>
      </c>
      <c r="L119">
        <f>(tblRestock[[#This Row],[listing_count]]-MIN(tblRestock[listing_count]))/(MAX(tblRestock[listing_count])-MIN(tblRestock[listing_count]))</f>
        <v>0</v>
      </c>
      <c r="M119">
        <f>$B$3*tblRestock[[#This Row],[Disc_N]]+$B$4*tblRestock[[#This Row],[Price_N]]+$B$5*tblRestock[[#This Row],[Vis_N]]</f>
        <v>3.4791366906474816E-2</v>
      </c>
      <c r="N119">
        <f t="shared" si="1"/>
        <v>187</v>
      </c>
    </row>
    <row r="120" spans="1:14">
      <c r="A120">
        <v>577</v>
      </c>
      <c r="B120" t="s">
        <v>1671</v>
      </c>
      <c r="C120" t="s">
        <v>1575</v>
      </c>
      <c r="D120">
        <v>30</v>
      </c>
      <c r="E120">
        <v>29</v>
      </c>
      <c r="F120">
        <v>3</v>
      </c>
      <c r="G120">
        <v>2</v>
      </c>
      <c r="H120">
        <v>2</v>
      </c>
      <c r="I120">
        <v>50</v>
      </c>
      <c r="J120">
        <f>(tblRestock[[#This Row],[discount_percent]]-MIN(tblRestock[discount_percent]))/(MAX(tblRestock[discount_percent])-MIN(tblRestock[discount_percent]))</f>
        <v>0.06</v>
      </c>
      <c r="K120">
        <f>(tblRestock[[#This Row],[selling_price]]-MIN(tblRestock[selling_price]))/(MAX(tblRestock[selling_price])-MIN(tblRestock[selling_price]))</f>
        <v>3.5971223021582732E-2</v>
      </c>
      <c r="L120">
        <f>(tblRestock[[#This Row],[listing_count]]-MIN(tblRestock[listing_count]))/(MAX(tblRestock[listing_count])-MIN(tblRestock[listing_count]))</f>
        <v>0.2</v>
      </c>
      <c r="M120">
        <f>$B$3*tblRestock[[#This Row],[Disc_N]]+$B$4*tblRestock[[#This Row],[Price_N]]+$B$5*tblRestock[[#This Row],[Vis_N]]</f>
        <v>9.4791366906474814E-2</v>
      </c>
      <c r="N120">
        <f t="shared" si="1"/>
        <v>153</v>
      </c>
    </row>
    <row r="121" spans="1:14">
      <c r="A121">
        <v>3079</v>
      </c>
      <c r="B121" t="s">
        <v>1672</v>
      </c>
      <c r="C121" t="s">
        <v>1620</v>
      </c>
      <c r="D121">
        <v>30</v>
      </c>
      <c r="E121">
        <v>29</v>
      </c>
      <c r="F121">
        <v>3</v>
      </c>
      <c r="G121">
        <v>3</v>
      </c>
      <c r="H121">
        <v>3</v>
      </c>
      <c r="I121">
        <v>406</v>
      </c>
      <c r="J121">
        <f>(tblRestock[[#This Row],[discount_percent]]-MIN(tblRestock[discount_percent]))/(MAX(tblRestock[discount_percent])-MIN(tblRestock[discount_percent]))</f>
        <v>0.06</v>
      </c>
      <c r="K121">
        <f>(tblRestock[[#This Row],[selling_price]]-MIN(tblRestock[selling_price]))/(MAX(tblRestock[selling_price])-MIN(tblRestock[selling_price]))</f>
        <v>3.5971223021582732E-2</v>
      </c>
      <c r="L121">
        <f>(tblRestock[[#This Row],[listing_count]]-MIN(tblRestock[listing_count]))/(MAX(tblRestock[listing_count])-MIN(tblRestock[listing_count]))</f>
        <v>0.4</v>
      </c>
      <c r="M121">
        <f>$B$3*tblRestock[[#This Row],[Disc_N]]+$B$4*tblRestock[[#This Row],[Price_N]]+$B$5*tblRestock[[#This Row],[Vis_N]]</f>
        <v>0.15479136690647483</v>
      </c>
      <c r="N121">
        <f t="shared" si="1"/>
        <v>89</v>
      </c>
    </row>
    <row r="122" spans="1:14">
      <c r="A122">
        <v>3627</v>
      </c>
      <c r="B122" t="s">
        <v>1673</v>
      </c>
      <c r="C122" t="s">
        <v>27</v>
      </c>
      <c r="D122">
        <v>105</v>
      </c>
      <c r="E122">
        <v>102</v>
      </c>
      <c r="F122">
        <v>2</v>
      </c>
      <c r="G122">
        <v>1</v>
      </c>
      <c r="H122">
        <v>1</v>
      </c>
      <c r="I122">
        <v>58</v>
      </c>
      <c r="J122">
        <f>(tblRestock[[#This Row],[discount_percent]]-MIN(tblRestock[discount_percent]))/(MAX(tblRestock[discount_percent])-MIN(tblRestock[discount_percent]))</f>
        <v>0.04</v>
      </c>
      <c r="K122">
        <f>(tblRestock[[#This Row],[selling_price]]-MIN(tblRestock[selling_price]))/(MAX(tblRestock[selling_price])-MIN(tblRestock[selling_price]))</f>
        <v>0.1672661870503597</v>
      </c>
      <c r="L122">
        <f>(tblRestock[[#This Row],[listing_count]]-MIN(tblRestock[listing_count]))/(MAX(tblRestock[listing_count])-MIN(tblRestock[listing_count]))</f>
        <v>0</v>
      </c>
      <c r="M122">
        <f>$B$3*tblRestock[[#This Row],[Disc_N]]+$B$4*tblRestock[[#This Row],[Price_N]]+$B$5*tblRestock[[#This Row],[Vis_N]]</f>
        <v>6.6179856115107905E-2</v>
      </c>
      <c r="N122">
        <f t="shared" si="1"/>
        <v>176</v>
      </c>
    </row>
    <row r="123" spans="1:14">
      <c r="A123">
        <v>567</v>
      </c>
      <c r="B123" t="s">
        <v>1674</v>
      </c>
      <c r="C123" t="s">
        <v>1575</v>
      </c>
      <c r="D123">
        <v>91</v>
      </c>
      <c r="E123">
        <v>89</v>
      </c>
      <c r="F123">
        <v>2</v>
      </c>
      <c r="G123">
        <v>2</v>
      </c>
      <c r="H123">
        <v>2</v>
      </c>
      <c r="I123">
        <v>500</v>
      </c>
      <c r="J123">
        <f>(tblRestock[[#This Row],[discount_percent]]-MIN(tblRestock[discount_percent]))/(MAX(tblRestock[discount_percent])-MIN(tblRestock[discount_percent]))</f>
        <v>0.04</v>
      </c>
      <c r="K123">
        <f>(tblRestock[[#This Row],[selling_price]]-MIN(tblRestock[selling_price]))/(MAX(tblRestock[selling_price])-MIN(tblRestock[selling_price]))</f>
        <v>0.14388489208633093</v>
      </c>
      <c r="L123">
        <f>(tblRestock[[#This Row],[listing_count]]-MIN(tblRestock[listing_count]))/(MAX(tblRestock[listing_count])-MIN(tblRestock[listing_count]))</f>
        <v>0.2</v>
      </c>
      <c r="M123">
        <f>$B$3*tblRestock[[#This Row],[Disc_N]]+$B$4*tblRestock[[#This Row],[Price_N]]+$B$5*tblRestock[[#This Row],[Vis_N]]</f>
        <v>0.11916546762589927</v>
      </c>
      <c r="N123">
        <f t="shared" si="1"/>
        <v>126</v>
      </c>
    </row>
    <row r="124" spans="1:14">
      <c r="A124">
        <v>3620</v>
      </c>
      <c r="B124" t="s">
        <v>1675</v>
      </c>
      <c r="C124" t="s">
        <v>27</v>
      </c>
      <c r="D124">
        <v>86</v>
      </c>
      <c r="E124">
        <v>84</v>
      </c>
      <c r="F124">
        <v>2</v>
      </c>
      <c r="G124">
        <v>1</v>
      </c>
      <c r="H124">
        <v>1</v>
      </c>
      <c r="I124">
        <v>1000</v>
      </c>
      <c r="J124">
        <f>(tblRestock[[#This Row],[discount_percent]]-MIN(tblRestock[discount_percent]))/(MAX(tblRestock[discount_percent])-MIN(tblRestock[discount_percent]))</f>
        <v>0.04</v>
      </c>
      <c r="K124">
        <f>(tblRestock[[#This Row],[selling_price]]-MIN(tblRestock[selling_price]))/(MAX(tblRestock[selling_price])-MIN(tblRestock[selling_price]))</f>
        <v>0.13489208633093525</v>
      </c>
      <c r="L124">
        <f>(tblRestock[[#This Row],[listing_count]]-MIN(tblRestock[listing_count]))/(MAX(tblRestock[listing_count])-MIN(tblRestock[listing_count]))</f>
        <v>0</v>
      </c>
      <c r="M124">
        <f>$B$3*tblRestock[[#This Row],[Disc_N]]+$B$4*tblRestock[[#This Row],[Price_N]]+$B$5*tblRestock[[#This Row],[Vis_N]]</f>
        <v>5.6467625899280574E-2</v>
      </c>
      <c r="N124">
        <f t="shared" si="1"/>
        <v>180</v>
      </c>
    </row>
    <row r="125" spans="1:14">
      <c r="A125">
        <v>559</v>
      </c>
      <c r="B125" t="s">
        <v>1676</v>
      </c>
      <c r="C125" t="s">
        <v>1575</v>
      </c>
      <c r="D125">
        <v>50</v>
      </c>
      <c r="E125">
        <v>49</v>
      </c>
      <c r="F125">
        <v>2</v>
      </c>
      <c r="G125">
        <v>2</v>
      </c>
      <c r="H125">
        <v>2</v>
      </c>
      <c r="I125">
        <v>100</v>
      </c>
      <c r="J125">
        <f>(tblRestock[[#This Row],[discount_percent]]-MIN(tblRestock[discount_percent]))/(MAX(tblRestock[discount_percent])-MIN(tblRestock[discount_percent]))</f>
        <v>0.04</v>
      </c>
      <c r="K125">
        <f>(tblRestock[[#This Row],[selling_price]]-MIN(tblRestock[selling_price]))/(MAX(tblRestock[selling_price])-MIN(tblRestock[selling_price]))</f>
        <v>7.1942446043165464E-2</v>
      </c>
      <c r="L125">
        <f>(tblRestock[[#This Row],[listing_count]]-MIN(tblRestock[listing_count]))/(MAX(tblRestock[listing_count])-MIN(tblRestock[listing_count]))</f>
        <v>0.2</v>
      </c>
      <c r="M125">
        <f>$B$3*tblRestock[[#This Row],[Disc_N]]+$B$4*tblRestock[[#This Row],[Price_N]]+$B$5*tblRestock[[#This Row],[Vis_N]]</f>
        <v>9.7582733812949629E-2</v>
      </c>
      <c r="N125">
        <f t="shared" si="1"/>
        <v>146</v>
      </c>
    </row>
    <row r="126" spans="1:14">
      <c r="A126">
        <v>603</v>
      </c>
      <c r="B126" t="s">
        <v>1677</v>
      </c>
      <c r="C126" t="s">
        <v>1575</v>
      </c>
      <c r="D126">
        <v>49</v>
      </c>
      <c r="E126">
        <v>48</v>
      </c>
      <c r="F126">
        <v>2</v>
      </c>
      <c r="G126">
        <v>2</v>
      </c>
      <c r="H126">
        <v>2</v>
      </c>
      <c r="I126">
        <v>200</v>
      </c>
      <c r="J126">
        <f>(tblRestock[[#This Row],[discount_percent]]-MIN(tblRestock[discount_percent]))/(MAX(tblRestock[discount_percent])-MIN(tblRestock[discount_percent]))</f>
        <v>0.04</v>
      </c>
      <c r="K126">
        <f>(tblRestock[[#This Row],[selling_price]]-MIN(tblRestock[selling_price]))/(MAX(tblRestock[selling_price])-MIN(tblRestock[selling_price]))</f>
        <v>7.0143884892086325E-2</v>
      </c>
      <c r="L126">
        <f>(tblRestock[[#This Row],[listing_count]]-MIN(tblRestock[listing_count]))/(MAX(tblRestock[listing_count])-MIN(tblRestock[listing_count]))</f>
        <v>0.2</v>
      </c>
      <c r="M126">
        <f>$B$3*tblRestock[[#This Row],[Disc_N]]+$B$4*tblRestock[[#This Row],[Price_N]]+$B$5*tblRestock[[#This Row],[Vis_N]]</f>
        <v>9.7043165467625897E-2</v>
      </c>
      <c r="N126">
        <f t="shared" si="1"/>
        <v>147</v>
      </c>
    </row>
    <row r="127" spans="1:14">
      <c r="A127">
        <v>3080</v>
      </c>
      <c r="B127" t="s">
        <v>1678</v>
      </c>
      <c r="C127" t="s">
        <v>1586</v>
      </c>
      <c r="D127">
        <v>48</v>
      </c>
      <c r="E127">
        <v>47</v>
      </c>
      <c r="F127">
        <v>2</v>
      </c>
      <c r="G127">
        <v>2</v>
      </c>
      <c r="H127">
        <v>2</v>
      </c>
      <c r="I127">
        <v>120</v>
      </c>
      <c r="J127">
        <f>(tblRestock[[#This Row],[discount_percent]]-MIN(tblRestock[discount_percent]))/(MAX(tblRestock[discount_percent])-MIN(tblRestock[discount_percent]))</f>
        <v>0.04</v>
      </c>
      <c r="K127">
        <f>(tblRestock[[#This Row],[selling_price]]-MIN(tblRestock[selling_price]))/(MAX(tblRestock[selling_price])-MIN(tblRestock[selling_price]))</f>
        <v>6.83453237410072E-2</v>
      </c>
      <c r="L127">
        <f>(tblRestock[[#This Row],[listing_count]]-MIN(tblRestock[listing_count]))/(MAX(tblRestock[listing_count])-MIN(tblRestock[listing_count]))</f>
        <v>0.2</v>
      </c>
      <c r="M127">
        <f>$B$3*tblRestock[[#This Row],[Disc_N]]+$B$4*tblRestock[[#This Row],[Price_N]]+$B$5*tblRestock[[#This Row],[Vis_N]]</f>
        <v>9.6503597122302165E-2</v>
      </c>
      <c r="N127">
        <f t="shared" si="1"/>
        <v>148</v>
      </c>
    </row>
    <row r="128" spans="1:14">
      <c r="A128">
        <v>558</v>
      </c>
      <c r="B128" t="s">
        <v>1679</v>
      </c>
      <c r="C128" t="s">
        <v>1575</v>
      </c>
      <c r="D128">
        <v>47</v>
      </c>
      <c r="E128">
        <v>46</v>
      </c>
      <c r="F128">
        <v>2</v>
      </c>
      <c r="G128">
        <v>2</v>
      </c>
      <c r="H128">
        <v>2</v>
      </c>
      <c r="I128">
        <v>100</v>
      </c>
      <c r="J128">
        <f>(tblRestock[[#This Row],[discount_percent]]-MIN(tblRestock[discount_percent]))/(MAX(tblRestock[discount_percent])-MIN(tblRestock[discount_percent]))</f>
        <v>0.04</v>
      </c>
      <c r="K128">
        <f>(tblRestock[[#This Row],[selling_price]]-MIN(tblRestock[selling_price]))/(MAX(tblRestock[selling_price])-MIN(tblRestock[selling_price]))</f>
        <v>6.654676258992806E-2</v>
      </c>
      <c r="L128">
        <f>(tblRestock[[#This Row],[listing_count]]-MIN(tblRestock[listing_count]))/(MAX(tblRestock[listing_count])-MIN(tblRestock[listing_count]))</f>
        <v>0.2</v>
      </c>
      <c r="M128">
        <f>$B$3*tblRestock[[#This Row],[Disc_N]]+$B$4*tblRestock[[#This Row],[Price_N]]+$B$5*tblRestock[[#This Row],[Vis_N]]</f>
        <v>9.5964028776978419E-2</v>
      </c>
      <c r="N128">
        <f t="shared" si="1"/>
        <v>149</v>
      </c>
    </row>
    <row r="129" spans="1:14">
      <c r="A129">
        <v>3090</v>
      </c>
      <c r="B129" t="s">
        <v>1680</v>
      </c>
      <c r="C129" t="s">
        <v>1620</v>
      </c>
      <c r="D129">
        <v>42</v>
      </c>
      <c r="E129">
        <v>41</v>
      </c>
      <c r="F129">
        <v>2</v>
      </c>
      <c r="G129">
        <v>3</v>
      </c>
      <c r="H129">
        <v>3</v>
      </c>
      <c r="I129">
        <v>406</v>
      </c>
      <c r="J129">
        <f>(tblRestock[[#This Row],[discount_percent]]-MIN(tblRestock[discount_percent]))/(MAX(tblRestock[discount_percent])-MIN(tblRestock[discount_percent]))</f>
        <v>0.04</v>
      </c>
      <c r="K129">
        <f>(tblRestock[[#This Row],[selling_price]]-MIN(tblRestock[selling_price]))/(MAX(tblRestock[selling_price])-MIN(tblRestock[selling_price]))</f>
        <v>5.7553956834532377E-2</v>
      </c>
      <c r="L129">
        <f>(tblRestock[[#This Row],[listing_count]]-MIN(tblRestock[listing_count]))/(MAX(tblRestock[listing_count])-MIN(tblRestock[listing_count]))</f>
        <v>0.4</v>
      </c>
      <c r="M129">
        <f>$B$3*tblRestock[[#This Row],[Disc_N]]+$B$4*tblRestock[[#This Row],[Price_N]]+$B$5*tblRestock[[#This Row],[Vis_N]]</f>
        <v>0.15326618705035971</v>
      </c>
      <c r="N129">
        <f t="shared" si="1"/>
        <v>91</v>
      </c>
    </row>
    <row r="130" spans="1:14">
      <c r="A130">
        <v>582</v>
      </c>
      <c r="B130" t="s">
        <v>1681</v>
      </c>
      <c r="C130" t="s">
        <v>1575</v>
      </c>
      <c r="D130">
        <v>42</v>
      </c>
      <c r="E130">
        <v>41</v>
      </c>
      <c r="F130">
        <v>2</v>
      </c>
      <c r="G130">
        <v>2</v>
      </c>
      <c r="H130">
        <v>2</v>
      </c>
      <c r="I130">
        <v>50</v>
      </c>
      <c r="J130">
        <f>(tblRestock[[#This Row],[discount_percent]]-MIN(tblRestock[discount_percent]))/(MAX(tblRestock[discount_percent])-MIN(tblRestock[discount_percent]))</f>
        <v>0.04</v>
      </c>
      <c r="K130">
        <f>(tblRestock[[#This Row],[selling_price]]-MIN(tblRestock[selling_price]))/(MAX(tblRestock[selling_price])-MIN(tblRestock[selling_price]))</f>
        <v>5.7553956834532377E-2</v>
      </c>
      <c r="L130">
        <f>(tblRestock[[#This Row],[listing_count]]-MIN(tblRestock[listing_count]))/(MAX(tblRestock[listing_count])-MIN(tblRestock[listing_count]))</f>
        <v>0.2</v>
      </c>
      <c r="M130">
        <f>$B$3*tblRestock[[#This Row],[Disc_N]]+$B$4*tblRestock[[#This Row],[Price_N]]+$B$5*tblRestock[[#This Row],[Vis_N]]</f>
        <v>9.3266187050359717E-2</v>
      </c>
      <c r="N130">
        <f t="shared" si="1"/>
        <v>154</v>
      </c>
    </row>
    <row r="131" spans="1:14">
      <c r="A131">
        <v>1730</v>
      </c>
      <c r="B131" t="s">
        <v>1682</v>
      </c>
      <c r="C131" t="s">
        <v>1577</v>
      </c>
      <c r="D131">
        <v>40</v>
      </c>
      <c r="E131">
        <v>39</v>
      </c>
      <c r="F131">
        <v>2</v>
      </c>
      <c r="G131">
        <v>3</v>
      </c>
      <c r="H131">
        <v>3</v>
      </c>
      <c r="I131">
        <v>40</v>
      </c>
      <c r="J131">
        <f>(tblRestock[[#This Row],[discount_percent]]-MIN(tblRestock[discount_percent]))/(MAX(tblRestock[discount_percent])-MIN(tblRestock[discount_percent]))</f>
        <v>0.04</v>
      </c>
      <c r="K131">
        <f>(tblRestock[[#This Row],[selling_price]]-MIN(tblRestock[selling_price]))/(MAX(tblRestock[selling_price])-MIN(tblRestock[selling_price]))</f>
        <v>5.3956834532374098E-2</v>
      </c>
      <c r="L131">
        <f>(tblRestock[[#This Row],[listing_count]]-MIN(tblRestock[listing_count]))/(MAX(tblRestock[listing_count])-MIN(tblRestock[listing_count]))</f>
        <v>0.4</v>
      </c>
      <c r="M131">
        <f>$B$3*tblRestock[[#This Row],[Disc_N]]+$B$4*tblRestock[[#This Row],[Price_N]]+$B$5*tblRestock[[#This Row],[Vis_N]]</f>
        <v>0.15218705035971222</v>
      </c>
      <c r="N131">
        <f t="shared" si="1"/>
        <v>92</v>
      </c>
    </row>
    <row r="132" spans="1:14">
      <c r="A132">
        <v>2730</v>
      </c>
      <c r="B132" t="s">
        <v>1683</v>
      </c>
      <c r="C132" t="s">
        <v>14</v>
      </c>
      <c r="D132">
        <v>35</v>
      </c>
      <c r="E132">
        <v>34</v>
      </c>
      <c r="F132">
        <v>2</v>
      </c>
      <c r="G132">
        <v>1</v>
      </c>
      <c r="H132">
        <v>1</v>
      </c>
      <c r="I132">
        <v>150</v>
      </c>
      <c r="J132">
        <f>(tblRestock[[#This Row],[discount_percent]]-MIN(tblRestock[discount_percent]))/(MAX(tblRestock[discount_percent])-MIN(tblRestock[discount_percent]))</f>
        <v>0.04</v>
      </c>
      <c r="K132">
        <f>(tblRestock[[#This Row],[selling_price]]-MIN(tblRestock[selling_price]))/(MAX(tblRestock[selling_price])-MIN(tblRestock[selling_price]))</f>
        <v>4.4964028776978415E-2</v>
      </c>
      <c r="L132">
        <f>(tblRestock[[#This Row],[listing_count]]-MIN(tblRestock[listing_count]))/(MAX(tblRestock[listing_count])-MIN(tblRestock[listing_count]))</f>
        <v>0</v>
      </c>
      <c r="M132">
        <f>$B$3*tblRestock[[#This Row],[Disc_N]]+$B$4*tblRestock[[#This Row],[Price_N]]+$B$5*tblRestock[[#This Row],[Vis_N]]</f>
        <v>2.9489208633093525E-2</v>
      </c>
      <c r="N132">
        <f t="shared" si="1"/>
        <v>192</v>
      </c>
    </row>
    <row r="133" spans="1:14">
      <c r="A133">
        <v>2721</v>
      </c>
      <c r="B133" t="s">
        <v>1684</v>
      </c>
      <c r="C133" t="s">
        <v>14</v>
      </c>
      <c r="D133">
        <v>35</v>
      </c>
      <c r="E133">
        <v>34</v>
      </c>
      <c r="F133">
        <v>2</v>
      </c>
      <c r="G133">
        <v>1</v>
      </c>
      <c r="H133">
        <v>1</v>
      </c>
      <c r="I133">
        <v>150</v>
      </c>
      <c r="J133">
        <f>(tblRestock[[#This Row],[discount_percent]]-MIN(tblRestock[discount_percent]))/(MAX(tblRestock[discount_percent])-MIN(tblRestock[discount_percent]))</f>
        <v>0.04</v>
      </c>
      <c r="K133">
        <f>(tblRestock[[#This Row],[selling_price]]-MIN(tblRestock[selling_price]))/(MAX(tblRestock[selling_price])-MIN(tblRestock[selling_price]))</f>
        <v>4.4964028776978415E-2</v>
      </c>
      <c r="L133">
        <f>(tblRestock[[#This Row],[listing_count]]-MIN(tblRestock[listing_count]))/(MAX(tblRestock[listing_count])-MIN(tblRestock[listing_count]))</f>
        <v>0</v>
      </c>
      <c r="M133">
        <f>$B$3*tblRestock[[#This Row],[Disc_N]]+$B$4*tblRestock[[#This Row],[Price_N]]+$B$5*tblRestock[[#This Row],[Vis_N]]</f>
        <v>2.9489208633093525E-2</v>
      </c>
      <c r="N133">
        <f t="shared" si="1"/>
        <v>191</v>
      </c>
    </row>
    <row r="134" spans="1:14">
      <c r="A134">
        <v>1731</v>
      </c>
      <c r="B134" t="s">
        <v>1685</v>
      </c>
      <c r="C134" t="s">
        <v>1577</v>
      </c>
      <c r="D134">
        <v>35</v>
      </c>
      <c r="E134">
        <v>34</v>
      </c>
      <c r="F134">
        <v>2</v>
      </c>
      <c r="G134">
        <v>3</v>
      </c>
      <c r="H134">
        <v>3</v>
      </c>
      <c r="I134">
        <v>70</v>
      </c>
      <c r="J134">
        <f>(tblRestock[[#This Row],[discount_percent]]-MIN(tblRestock[discount_percent]))/(MAX(tblRestock[discount_percent])-MIN(tblRestock[discount_percent]))</f>
        <v>0.04</v>
      </c>
      <c r="K134">
        <f>(tblRestock[[#This Row],[selling_price]]-MIN(tblRestock[selling_price]))/(MAX(tblRestock[selling_price])-MIN(tblRestock[selling_price]))</f>
        <v>4.4964028776978415E-2</v>
      </c>
      <c r="L134">
        <f>(tblRestock[[#This Row],[listing_count]]-MIN(tblRestock[listing_count]))/(MAX(tblRestock[listing_count])-MIN(tblRestock[listing_count]))</f>
        <v>0.4</v>
      </c>
      <c r="M134">
        <f>$B$3*tblRestock[[#This Row],[Disc_N]]+$B$4*tblRestock[[#This Row],[Price_N]]+$B$5*tblRestock[[#This Row],[Vis_N]]</f>
        <v>0.14948920863309351</v>
      </c>
      <c r="N134">
        <f t="shared" si="1"/>
        <v>95</v>
      </c>
    </row>
    <row r="135" spans="1:14">
      <c r="A135">
        <v>578</v>
      </c>
      <c r="B135" t="s">
        <v>1686</v>
      </c>
      <c r="C135" t="s">
        <v>1575</v>
      </c>
      <c r="D135">
        <v>34</v>
      </c>
      <c r="E135">
        <v>33</v>
      </c>
      <c r="F135">
        <v>2</v>
      </c>
      <c r="G135">
        <v>2</v>
      </c>
      <c r="H135">
        <v>2</v>
      </c>
      <c r="I135">
        <v>50</v>
      </c>
      <c r="J135">
        <f>(tblRestock[[#This Row],[discount_percent]]-MIN(tblRestock[discount_percent]))/(MAX(tblRestock[discount_percent])-MIN(tblRestock[discount_percent]))</f>
        <v>0.04</v>
      </c>
      <c r="K135">
        <f>(tblRestock[[#This Row],[selling_price]]-MIN(tblRestock[selling_price]))/(MAX(tblRestock[selling_price])-MIN(tblRestock[selling_price]))</f>
        <v>4.3165467625899283E-2</v>
      </c>
      <c r="L135">
        <f>(tblRestock[[#This Row],[listing_count]]-MIN(tblRestock[listing_count]))/(MAX(tblRestock[listing_count])-MIN(tblRestock[listing_count]))</f>
        <v>0.2</v>
      </c>
      <c r="M135">
        <f>$B$3*tblRestock[[#This Row],[Disc_N]]+$B$4*tblRestock[[#This Row],[Price_N]]+$B$5*tblRestock[[#This Row],[Vis_N]]</f>
        <v>8.8949640287769777E-2</v>
      </c>
      <c r="N135">
        <f t="shared" si="1"/>
        <v>159</v>
      </c>
    </row>
    <row r="136" spans="1:14">
      <c r="A136">
        <v>560</v>
      </c>
      <c r="B136" t="s">
        <v>1687</v>
      </c>
      <c r="C136" t="s">
        <v>1575</v>
      </c>
      <c r="D136">
        <v>179</v>
      </c>
      <c r="E136">
        <v>177</v>
      </c>
      <c r="F136">
        <v>1</v>
      </c>
      <c r="G136">
        <v>2</v>
      </c>
      <c r="H136">
        <v>2</v>
      </c>
      <c r="I136">
        <v>1000</v>
      </c>
      <c r="J136">
        <f>(tblRestock[[#This Row],[discount_percent]]-MIN(tblRestock[discount_percent]))/(MAX(tblRestock[discount_percent])-MIN(tblRestock[discount_percent]))</f>
        <v>0.02</v>
      </c>
      <c r="K136">
        <f>(tblRestock[[#This Row],[selling_price]]-MIN(tblRestock[selling_price]))/(MAX(tblRestock[selling_price])-MIN(tblRestock[selling_price]))</f>
        <v>0.30215827338129497</v>
      </c>
      <c r="L136">
        <f>(tblRestock[[#This Row],[listing_count]]-MIN(tblRestock[listing_count]))/(MAX(tblRestock[listing_count])-MIN(tblRestock[listing_count]))</f>
        <v>0.2</v>
      </c>
      <c r="M136">
        <f>$B$3*tblRestock[[#This Row],[Disc_N]]+$B$4*tblRestock[[#This Row],[Price_N]]+$B$5*tblRestock[[#This Row],[Vis_N]]</f>
        <v>0.1586474820143885</v>
      </c>
      <c r="N136">
        <f t="shared" si="1"/>
        <v>87</v>
      </c>
    </row>
    <row r="137" spans="1:14">
      <c r="A137">
        <v>1230</v>
      </c>
      <c r="B137" t="s">
        <v>1688</v>
      </c>
      <c r="C137" t="s">
        <v>1569</v>
      </c>
      <c r="D137">
        <v>100</v>
      </c>
      <c r="E137">
        <v>99</v>
      </c>
      <c r="F137">
        <v>1</v>
      </c>
      <c r="G137">
        <v>2</v>
      </c>
      <c r="H137">
        <v>2</v>
      </c>
      <c r="I137">
        <v>200</v>
      </c>
      <c r="J137">
        <f>(tblRestock[[#This Row],[discount_percent]]-MIN(tblRestock[discount_percent]))/(MAX(tblRestock[discount_percent])-MIN(tblRestock[discount_percent]))</f>
        <v>0.02</v>
      </c>
      <c r="K137">
        <f>(tblRestock[[#This Row],[selling_price]]-MIN(tblRestock[selling_price]))/(MAX(tblRestock[selling_price])-MIN(tblRestock[selling_price]))</f>
        <v>0.16187050359712229</v>
      </c>
      <c r="L137">
        <f>(tblRestock[[#This Row],[listing_count]]-MIN(tblRestock[listing_count]))/(MAX(tblRestock[listing_count])-MIN(tblRestock[listing_count]))</f>
        <v>0.2</v>
      </c>
      <c r="M137">
        <f>$B$3*tblRestock[[#This Row],[Disc_N]]+$B$4*tblRestock[[#This Row],[Price_N]]+$B$5*tblRestock[[#This Row],[Vis_N]]</f>
        <v>0.11656115107913669</v>
      </c>
      <c r="N137">
        <f t="shared" si="1"/>
        <v>130</v>
      </c>
    </row>
    <row r="138" spans="1:14">
      <c r="A138">
        <v>589</v>
      </c>
      <c r="B138" t="s">
        <v>1689</v>
      </c>
      <c r="C138" t="s">
        <v>1575</v>
      </c>
      <c r="D138">
        <v>90</v>
      </c>
      <c r="E138">
        <v>89</v>
      </c>
      <c r="F138">
        <v>1</v>
      </c>
      <c r="G138">
        <v>2</v>
      </c>
      <c r="H138">
        <v>2</v>
      </c>
      <c r="I138">
        <v>1000</v>
      </c>
      <c r="J138">
        <f>(tblRestock[[#This Row],[discount_percent]]-MIN(tblRestock[discount_percent]))/(MAX(tblRestock[discount_percent])-MIN(tblRestock[discount_percent]))</f>
        <v>0.02</v>
      </c>
      <c r="K138">
        <f>(tblRestock[[#This Row],[selling_price]]-MIN(tblRestock[selling_price]))/(MAX(tblRestock[selling_price])-MIN(tblRestock[selling_price]))</f>
        <v>0.14388489208633093</v>
      </c>
      <c r="L138">
        <f>(tblRestock[[#This Row],[listing_count]]-MIN(tblRestock[listing_count]))/(MAX(tblRestock[listing_count])-MIN(tblRestock[listing_count]))</f>
        <v>0.2</v>
      </c>
      <c r="M138">
        <f>$B$3*tblRestock[[#This Row],[Disc_N]]+$B$4*tblRestock[[#This Row],[Price_N]]+$B$5*tblRestock[[#This Row],[Vis_N]]</f>
        <v>0.11116546762589927</v>
      </c>
      <c r="N138">
        <f t="shared" ref="N138:N201" si="2">_xlfn.RANK.EQ(M138,$M$10:$M$226,0)+COUNTIFS($M$10:$M$226,M138,$A$10:$A$226,"&lt;"&amp;A138)</f>
        <v>132</v>
      </c>
    </row>
    <row r="139" spans="1:14">
      <c r="A139">
        <v>1229</v>
      </c>
      <c r="B139" t="s">
        <v>166</v>
      </c>
      <c r="C139" t="s">
        <v>1569</v>
      </c>
      <c r="D139">
        <v>71</v>
      </c>
      <c r="E139">
        <v>70</v>
      </c>
      <c r="F139">
        <v>1</v>
      </c>
      <c r="G139">
        <v>2</v>
      </c>
      <c r="H139">
        <v>2</v>
      </c>
      <c r="I139">
        <v>100</v>
      </c>
      <c r="J139">
        <f>(tblRestock[[#This Row],[discount_percent]]-MIN(tblRestock[discount_percent]))/(MAX(tblRestock[discount_percent])-MIN(tblRestock[discount_percent]))</f>
        <v>0.02</v>
      </c>
      <c r="K139">
        <f>(tblRestock[[#This Row],[selling_price]]-MIN(tblRestock[selling_price]))/(MAX(tblRestock[selling_price])-MIN(tblRestock[selling_price]))</f>
        <v>0.10971223021582734</v>
      </c>
      <c r="L139">
        <f>(tblRestock[[#This Row],[listing_count]]-MIN(tblRestock[listing_count]))/(MAX(tblRestock[listing_count])-MIN(tblRestock[listing_count]))</f>
        <v>0.2</v>
      </c>
      <c r="M139">
        <f>$B$3*tblRestock[[#This Row],[Disc_N]]+$B$4*tblRestock[[#This Row],[Price_N]]+$B$5*tblRestock[[#This Row],[Vis_N]]</f>
        <v>0.10091366906474819</v>
      </c>
      <c r="N139">
        <f t="shared" si="2"/>
        <v>140</v>
      </c>
    </row>
    <row r="140" spans="1:14">
      <c r="A140">
        <v>548</v>
      </c>
      <c r="B140" t="s">
        <v>1690</v>
      </c>
      <c r="C140" t="s">
        <v>1575</v>
      </c>
      <c r="D140">
        <v>53</v>
      </c>
      <c r="E140">
        <v>52</v>
      </c>
      <c r="F140">
        <v>1</v>
      </c>
      <c r="G140">
        <v>2</v>
      </c>
      <c r="H140">
        <v>2</v>
      </c>
      <c r="I140">
        <v>1000</v>
      </c>
      <c r="J140">
        <f>(tblRestock[[#This Row],[discount_percent]]-MIN(tblRestock[discount_percent]))/(MAX(tblRestock[discount_percent])-MIN(tblRestock[discount_percent]))</f>
        <v>0.02</v>
      </c>
      <c r="K140">
        <f>(tblRestock[[#This Row],[selling_price]]-MIN(tblRestock[selling_price]))/(MAX(tblRestock[selling_price])-MIN(tblRestock[selling_price]))</f>
        <v>7.7338129496402883E-2</v>
      </c>
      <c r="L140">
        <f>(tblRestock[[#This Row],[listing_count]]-MIN(tblRestock[listing_count]))/(MAX(tblRestock[listing_count])-MIN(tblRestock[listing_count]))</f>
        <v>0.2</v>
      </c>
      <c r="M140">
        <f>$B$3*tblRestock[[#This Row],[Disc_N]]+$B$4*tblRestock[[#This Row],[Price_N]]+$B$5*tblRestock[[#This Row],[Vis_N]]</f>
        <v>9.120143884892086E-2</v>
      </c>
      <c r="N140">
        <f t="shared" si="2"/>
        <v>155</v>
      </c>
    </row>
    <row r="141" spans="1:14">
      <c r="A141">
        <v>581</v>
      </c>
      <c r="B141" t="s">
        <v>1691</v>
      </c>
      <c r="C141" t="s">
        <v>1575</v>
      </c>
      <c r="D141">
        <v>565</v>
      </c>
      <c r="E141">
        <v>565</v>
      </c>
      <c r="F141">
        <v>0</v>
      </c>
      <c r="G141">
        <v>2</v>
      </c>
      <c r="H141">
        <v>2</v>
      </c>
      <c r="I141">
        <v>1000</v>
      </c>
      <c r="J141">
        <f>(tblRestock[[#This Row],[discount_percent]]-MIN(tblRestock[discount_percent]))/(MAX(tblRestock[discount_percent])-MIN(tblRestock[discount_percent]))</f>
        <v>0</v>
      </c>
      <c r="K141">
        <f>(tblRestock[[#This Row],[selling_price]]-MIN(tblRestock[selling_price]))/(MAX(tblRestock[selling_price])-MIN(tblRestock[selling_price]))</f>
        <v>1</v>
      </c>
      <c r="L141">
        <f>(tblRestock[[#This Row],[listing_count]]-MIN(tblRestock[listing_count]))/(MAX(tblRestock[listing_count])-MIN(tblRestock[listing_count]))</f>
        <v>0.2</v>
      </c>
      <c r="M141">
        <f>$B$3*tblRestock[[#This Row],[Disc_N]]+$B$4*tblRestock[[#This Row],[Price_N]]+$B$5*tblRestock[[#This Row],[Vis_N]]</f>
        <v>0.36</v>
      </c>
      <c r="N141">
        <f t="shared" si="2"/>
        <v>10</v>
      </c>
    </row>
    <row r="142" spans="1:14">
      <c r="A142">
        <v>2606</v>
      </c>
      <c r="B142" t="s">
        <v>1692</v>
      </c>
      <c r="C142" t="s">
        <v>19</v>
      </c>
      <c r="D142">
        <v>270</v>
      </c>
      <c r="E142">
        <v>270</v>
      </c>
      <c r="F142">
        <v>0</v>
      </c>
      <c r="G142">
        <v>1</v>
      </c>
      <c r="H142">
        <v>1</v>
      </c>
      <c r="I142">
        <v>500</v>
      </c>
      <c r="J142">
        <f>(tblRestock[[#This Row],[discount_percent]]-MIN(tblRestock[discount_percent]))/(MAX(tblRestock[discount_percent])-MIN(tblRestock[discount_percent]))</f>
        <v>0</v>
      </c>
      <c r="K142">
        <f>(tblRestock[[#This Row],[selling_price]]-MIN(tblRestock[selling_price]))/(MAX(tblRestock[selling_price])-MIN(tblRestock[selling_price]))</f>
        <v>0.4694244604316547</v>
      </c>
      <c r="L142">
        <f>(tblRestock[[#This Row],[listing_count]]-MIN(tblRestock[listing_count]))/(MAX(tblRestock[listing_count])-MIN(tblRestock[listing_count]))</f>
        <v>0</v>
      </c>
      <c r="M142">
        <f>$B$3*tblRestock[[#This Row],[Disc_N]]+$B$4*tblRestock[[#This Row],[Price_N]]+$B$5*tblRestock[[#This Row],[Vis_N]]</f>
        <v>0.14082733812949641</v>
      </c>
      <c r="N142">
        <f t="shared" si="2"/>
        <v>107</v>
      </c>
    </row>
    <row r="143" spans="1:14">
      <c r="A143">
        <v>2603</v>
      </c>
      <c r="B143" t="s">
        <v>1693</v>
      </c>
      <c r="C143" t="s">
        <v>19</v>
      </c>
      <c r="D143">
        <v>250</v>
      </c>
      <c r="E143">
        <v>250</v>
      </c>
      <c r="F143">
        <v>0</v>
      </c>
      <c r="G143">
        <v>1</v>
      </c>
      <c r="H143">
        <v>1</v>
      </c>
      <c r="I143">
        <v>450</v>
      </c>
      <c r="J143">
        <f>(tblRestock[[#This Row],[discount_percent]]-MIN(tblRestock[discount_percent]))/(MAX(tblRestock[discount_percent])-MIN(tblRestock[discount_percent]))</f>
        <v>0</v>
      </c>
      <c r="K143">
        <f>(tblRestock[[#This Row],[selling_price]]-MIN(tblRestock[selling_price]))/(MAX(tblRestock[selling_price])-MIN(tblRestock[selling_price]))</f>
        <v>0.43345323741007197</v>
      </c>
      <c r="L143">
        <f>(tblRestock[[#This Row],[listing_count]]-MIN(tblRestock[listing_count]))/(MAX(tblRestock[listing_count])-MIN(tblRestock[listing_count]))</f>
        <v>0</v>
      </c>
      <c r="M143">
        <f>$B$3*tblRestock[[#This Row],[Disc_N]]+$B$4*tblRestock[[#This Row],[Price_N]]+$B$5*tblRestock[[#This Row],[Vis_N]]</f>
        <v>0.13003597122302157</v>
      </c>
      <c r="N143">
        <f t="shared" si="2"/>
        <v>112</v>
      </c>
    </row>
    <row r="144" spans="1:14">
      <c r="A144">
        <v>1767</v>
      </c>
      <c r="B144" t="s">
        <v>1694</v>
      </c>
      <c r="C144" t="s">
        <v>1577</v>
      </c>
      <c r="D144">
        <v>250</v>
      </c>
      <c r="E144">
        <v>250</v>
      </c>
      <c r="F144">
        <v>0</v>
      </c>
      <c r="G144">
        <v>3</v>
      </c>
      <c r="H144">
        <v>3</v>
      </c>
      <c r="I144">
        <v>450</v>
      </c>
      <c r="J144">
        <f>(tblRestock[[#This Row],[discount_percent]]-MIN(tblRestock[discount_percent]))/(MAX(tblRestock[discount_percent])-MIN(tblRestock[discount_percent]))</f>
        <v>0</v>
      </c>
      <c r="K144">
        <f>(tblRestock[[#This Row],[selling_price]]-MIN(tblRestock[selling_price]))/(MAX(tblRestock[selling_price])-MIN(tblRestock[selling_price]))</f>
        <v>0.43345323741007197</v>
      </c>
      <c r="L144">
        <f>(tblRestock[[#This Row],[listing_count]]-MIN(tblRestock[listing_count]))/(MAX(tblRestock[listing_count])-MIN(tblRestock[listing_count]))</f>
        <v>0.4</v>
      </c>
      <c r="M144">
        <f>$B$3*tblRestock[[#This Row],[Disc_N]]+$B$4*tblRestock[[#This Row],[Price_N]]+$B$5*tblRestock[[#This Row],[Vis_N]]</f>
        <v>0.25003597122302157</v>
      </c>
      <c r="N144">
        <f t="shared" si="2"/>
        <v>33</v>
      </c>
    </row>
    <row r="145" spans="1:14">
      <c r="A145">
        <v>1764</v>
      </c>
      <c r="B145" t="s">
        <v>132</v>
      </c>
      <c r="C145" t="s">
        <v>1577</v>
      </c>
      <c r="D145">
        <v>250</v>
      </c>
      <c r="E145">
        <v>250</v>
      </c>
      <c r="F145">
        <v>0</v>
      </c>
      <c r="G145">
        <v>3</v>
      </c>
      <c r="H145">
        <v>3</v>
      </c>
      <c r="I145">
        <v>1000</v>
      </c>
      <c r="J145">
        <f>(tblRestock[[#This Row],[discount_percent]]-MIN(tblRestock[discount_percent]))/(MAX(tblRestock[discount_percent])-MIN(tblRestock[discount_percent]))</f>
        <v>0</v>
      </c>
      <c r="K145">
        <f>(tblRestock[[#This Row],[selling_price]]-MIN(tblRestock[selling_price]))/(MAX(tblRestock[selling_price])-MIN(tblRestock[selling_price]))</f>
        <v>0.43345323741007197</v>
      </c>
      <c r="L145">
        <f>(tblRestock[[#This Row],[listing_count]]-MIN(tblRestock[listing_count]))/(MAX(tblRestock[listing_count])-MIN(tblRestock[listing_count]))</f>
        <v>0.4</v>
      </c>
      <c r="M145">
        <f>$B$3*tblRestock[[#This Row],[Disc_N]]+$B$4*tblRestock[[#This Row],[Price_N]]+$B$5*tblRestock[[#This Row],[Vis_N]]</f>
        <v>0.25003597122302157</v>
      </c>
      <c r="N145">
        <f t="shared" si="2"/>
        <v>32</v>
      </c>
    </row>
    <row r="146" spans="1:14">
      <c r="A146">
        <v>2604</v>
      </c>
      <c r="B146" t="s">
        <v>1695</v>
      </c>
      <c r="C146" t="s">
        <v>19</v>
      </c>
      <c r="D146">
        <v>250</v>
      </c>
      <c r="E146">
        <v>250</v>
      </c>
      <c r="F146">
        <v>0</v>
      </c>
      <c r="G146">
        <v>1</v>
      </c>
      <c r="H146">
        <v>1</v>
      </c>
      <c r="I146">
        <v>450</v>
      </c>
      <c r="J146">
        <f>(tblRestock[[#This Row],[discount_percent]]-MIN(tblRestock[discount_percent]))/(MAX(tblRestock[discount_percent])-MIN(tblRestock[discount_percent]))</f>
        <v>0</v>
      </c>
      <c r="K146">
        <f>(tblRestock[[#This Row],[selling_price]]-MIN(tblRestock[selling_price]))/(MAX(tblRestock[selling_price])-MIN(tblRestock[selling_price]))</f>
        <v>0.43345323741007197</v>
      </c>
      <c r="L146">
        <f>(tblRestock[[#This Row],[listing_count]]-MIN(tblRestock[listing_count]))/(MAX(tblRestock[listing_count])-MIN(tblRestock[listing_count]))</f>
        <v>0</v>
      </c>
      <c r="M146">
        <f>$B$3*tblRestock[[#This Row],[Disc_N]]+$B$4*tblRestock[[#This Row],[Price_N]]+$B$5*tblRestock[[#This Row],[Vis_N]]</f>
        <v>0.13003597122302157</v>
      </c>
      <c r="N146">
        <f t="shared" si="2"/>
        <v>113</v>
      </c>
    </row>
    <row r="147" spans="1:14">
      <c r="A147">
        <v>596</v>
      </c>
      <c r="B147" t="s">
        <v>1696</v>
      </c>
      <c r="C147" t="s">
        <v>1575</v>
      </c>
      <c r="D147">
        <v>210</v>
      </c>
      <c r="E147">
        <v>210</v>
      </c>
      <c r="F147">
        <v>0</v>
      </c>
      <c r="G147">
        <v>2</v>
      </c>
      <c r="H147">
        <v>2</v>
      </c>
      <c r="I147">
        <v>1000</v>
      </c>
      <c r="J147">
        <f>(tblRestock[[#This Row],[discount_percent]]-MIN(tblRestock[discount_percent]))/(MAX(tblRestock[discount_percent])-MIN(tblRestock[discount_percent]))</f>
        <v>0</v>
      </c>
      <c r="K147">
        <f>(tblRestock[[#This Row],[selling_price]]-MIN(tblRestock[selling_price]))/(MAX(tblRestock[selling_price])-MIN(tblRestock[selling_price]))</f>
        <v>0.36151079136690645</v>
      </c>
      <c r="L147">
        <f>(tblRestock[[#This Row],[listing_count]]-MIN(tblRestock[listing_count]))/(MAX(tblRestock[listing_count])-MIN(tblRestock[listing_count]))</f>
        <v>0.2</v>
      </c>
      <c r="M147">
        <f>$B$3*tblRestock[[#This Row],[Disc_N]]+$B$4*tblRestock[[#This Row],[Price_N]]+$B$5*tblRestock[[#This Row],[Vis_N]]</f>
        <v>0.16845323741007193</v>
      </c>
      <c r="N147">
        <f t="shared" si="2"/>
        <v>72</v>
      </c>
    </row>
    <row r="148" spans="1:14">
      <c r="A148">
        <v>598</v>
      </c>
      <c r="B148" t="s">
        <v>1697</v>
      </c>
      <c r="C148" t="s">
        <v>1659</v>
      </c>
      <c r="D148">
        <v>190</v>
      </c>
      <c r="E148">
        <v>190</v>
      </c>
      <c r="F148">
        <v>0</v>
      </c>
      <c r="G148">
        <v>6</v>
      </c>
      <c r="H148">
        <v>6</v>
      </c>
      <c r="I148">
        <v>300</v>
      </c>
      <c r="J148">
        <f>(tblRestock[[#This Row],[discount_percent]]-MIN(tblRestock[discount_percent]))/(MAX(tblRestock[discount_percent])-MIN(tblRestock[discount_percent]))</f>
        <v>0</v>
      </c>
      <c r="K148">
        <f>(tblRestock[[#This Row],[selling_price]]-MIN(tblRestock[selling_price]))/(MAX(tblRestock[selling_price])-MIN(tblRestock[selling_price]))</f>
        <v>0.32553956834532372</v>
      </c>
      <c r="L148">
        <f>(tblRestock[[#This Row],[listing_count]]-MIN(tblRestock[listing_count]))/(MAX(tblRestock[listing_count])-MIN(tblRestock[listing_count]))</f>
        <v>1</v>
      </c>
      <c r="M148">
        <f>$B$3*tblRestock[[#This Row],[Disc_N]]+$B$4*tblRestock[[#This Row],[Price_N]]+$B$5*tblRestock[[#This Row],[Vis_N]]</f>
        <v>0.39766187050359708</v>
      </c>
      <c r="N148">
        <f t="shared" si="2"/>
        <v>8</v>
      </c>
    </row>
    <row r="149" spans="1:14">
      <c r="A149">
        <v>3095</v>
      </c>
      <c r="B149" t="s">
        <v>1698</v>
      </c>
      <c r="C149" t="s">
        <v>1620</v>
      </c>
      <c r="D149">
        <v>185</v>
      </c>
      <c r="E149">
        <v>185</v>
      </c>
      <c r="F149">
        <v>0</v>
      </c>
      <c r="G149">
        <v>3</v>
      </c>
      <c r="H149">
        <v>3</v>
      </c>
      <c r="I149">
        <v>870</v>
      </c>
      <c r="J149">
        <f>(tblRestock[[#This Row],[discount_percent]]-MIN(tblRestock[discount_percent]))/(MAX(tblRestock[discount_percent])-MIN(tblRestock[discount_percent]))</f>
        <v>0</v>
      </c>
      <c r="K149">
        <f>(tblRestock[[#This Row],[selling_price]]-MIN(tblRestock[selling_price]))/(MAX(tblRestock[selling_price])-MIN(tblRestock[selling_price]))</f>
        <v>0.31654676258992803</v>
      </c>
      <c r="L149">
        <f>(tblRestock[[#This Row],[listing_count]]-MIN(tblRestock[listing_count]))/(MAX(tblRestock[listing_count])-MIN(tblRestock[listing_count]))</f>
        <v>0.4</v>
      </c>
      <c r="M149">
        <f>$B$3*tblRestock[[#This Row],[Disc_N]]+$B$4*tblRestock[[#This Row],[Price_N]]+$B$5*tblRestock[[#This Row],[Vis_N]]</f>
        <v>0.2149640287769784</v>
      </c>
      <c r="N149">
        <f t="shared" si="2"/>
        <v>44</v>
      </c>
    </row>
    <row r="150" spans="1:14">
      <c r="A150">
        <v>1726</v>
      </c>
      <c r="B150" t="s">
        <v>1699</v>
      </c>
      <c r="C150" t="s">
        <v>1577</v>
      </c>
      <c r="D150">
        <v>155</v>
      </c>
      <c r="E150">
        <v>155</v>
      </c>
      <c r="F150">
        <v>0</v>
      </c>
      <c r="G150">
        <v>3</v>
      </c>
      <c r="H150">
        <v>3</v>
      </c>
      <c r="I150">
        <v>500</v>
      </c>
      <c r="J150">
        <f>(tblRestock[[#This Row],[discount_percent]]-MIN(tblRestock[discount_percent]))/(MAX(tblRestock[discount_percent])-MIN(tblRestock[discount_percent]))</f>
        <v>0</v>
      </c>
      <c r="K150">
        <f>(tblRestock[[#This Row],[selling_price]]-MIN(tblRestock[selling_price]))/(MAX(tblRestock[selling_price])-MIN(tblRestock[selling_price]))</f>
        <v>0.26258992805755393</v>
      </c>
      <c r="L150">
        <f>(tblRestock[[#This Row],[listing_count]]-MIN(tblRestock[listing_count]))/(MAX(tblRestock[listing_count])-MIN(tblRestock[listing_count]))</f>
        <v>0.4</v>
      </c>
      <c r="M150">
        <f>$B$3*tblRestock[[#This Row],[Disc_N]]+$B$4*tblRestock[[#This Row],[Price_N]]+$B$5*tblRestock[[#This Row],[Vis_N]]</f>
        <v>0.19877697841726616</v>
      </c>
      <c r="N150">
        <f t="shared" si="2"/>
        <v>56</v>
      </c>
    </row>
    <row r="151" spans="1:14">
      <c r="A151">
        <v>2597</v>
      </c>
      <c r="B151" t="s">
        <v>170</v>
      </c>
      <c r="C151" t="s">
        <v>19</v>
      </c>
      <c r="D151">
        <v>145</v>
      </c>
      <c r="E151">
        <v>145</v>
      </c>
      <c r="F151">
        <v>0</v>
      </c>
      <c r="G151">
        <v>1</v>
      </c>
      <c r="H151">
        <v>1</v>
      </c>
      <c r="I151">
        <v>450</v>
      </c>
      <c r="J151">
        <f>(tblRestock[[#This Row],[discount_percent]]-MIN(tblRestock[discount_percent]))/(MAX(tblRestock[discount_percent])-MIN(tblRestock[discount_percent]))</f>
        <v>0</v>
      </c>
      <c r="K151">
        <f>(tblRestock[[#This Row],[selling_price]]-MIN(tblRestock[selling_price]))/(MAX(tblRestock[selling_price])-MIN(tblRestock[selling_price]))</f>
        <v>0.2446043165467626</v>
      </c>
      <c r="L151">
        <f>(tblRestock[[#This Row],[listing_count]]-MIN(tblRestock[listing_count]))/(MAX(tblRestock[listing_count])-MIN(tblRestock[listing_count]))</f>
        <v>0</v>
      </c>
      <c r="M151">
        <f>$B$3*tblRestock[[#This Row],[Disc_N]]+$B$4*tblRestock[[#This Row],[Price_N]]+$B$5*tblRestock[[#This Row],[Vis_N]]</f>
        <v>7.3381294964028773E-2</v>
      </c>
      <c r="N151">
        <f t="shared" si="2"/>
        <v>168</v>
      </c>
    </row>
    <row r="152" spans="1:14">
      <c r="A152">
        <v>2596</v>
      </c>
      <c r="B152" t="s">
        <v>1700</v>
      </c>
      <c r="C152" t="s">
        <v>19</v>
      </c>
      <c r="D152">
        <v>140</v>
      </c>
      <c r="E152">
        <v>140</v>
      </c>
      <c r="F152">
        <v>0</v>
      </c>
      <c r="G152">
        <v>1</v>
      </c>
      <c r="H152">
        <v>1</v>
      </c>
      <c r="I152">
        <v>500</v>
      </c>
      <c r="J152">
        <f>(tblRestock[[#This Row],[discount_percent]]-MIN(tblRestock[discount_percent]))/(MAX(tblRestock[discount_percent])-MIN(tblRestock[discount_percent]))</f>
        <v>0</v>
      </c>
      <c r="K152">
        <f>(tblRestock[[#This Row],[selling_price]]-MIN(tblRestock[selling_price]))/(MAX(tblRestock[selling_price])-MIN(tblRestock[selling_price]))</f>
        <v>0.23561151079136691</v>
      </c>
      <c r="L152">
        <f>(tblRestock[[#This Row],[listing_count]]-MIN(tblRestock[listing_count]))/(MAX(tblRestock[listing_count])-MIN(tblRestock[listing_count]))</f>
        <v>0</v>
      </c>
      <c r="M152">
        <f>$B$3*tblRestock[[#This Row],[Disc_N]]+$B$4*tblRestock[[#This Row],[Price_N]]+$B$5*tblRestock[[#This Row],[Vis_N]]</f>
        <v>7.0683453237410071E-2</v>
      </c>
      <c r="N152">
        <f t="shared" si="2"/>
        <v>174</v>
      </c>
    </row>
    <row r="153" spans="1:14">
      <c r="A153">
        <v>1763</v>
      </c>
      <c r="B153" t="s">
        <v>132</v>
      </c>
      <c r="C153" t="s">
        <v>1577</v>
      </c>
      <c r="D153">
        <v>135</v>
      </c>
      <c r="E153">
        <v>135</v>
      </c>
      <c r="F153">
        <v>0</v>
      </c>
      <c r="G153">
        <v>3</v>
      </c>
      <c r="H153">
        <v>3</v>
      </c>
      <c r="I153">
        <v>500</v>
      </c>
      <c r="J153">
        <f>(tblRestock[[#This Row],[discount_percent]]-MIN(tblRestock[discount_percent]))/(MAX(tblRestock[discount_percent])-MIN(tblRestock[discount_percent]))</f>
        <v>0</v>
      </c>
      <c r="K153">
        <f>(tblRestock[[#This Row],[selling_price]]-MIN(tblRestock[selling_price]))/(MAX(tblRestock[selling_price])-MIN(tblRestock[selling_price]))</f>
        <v>0.22661870503597123</v>
      </c>
      <c r="L153">
        <f>(tblRestock[[#This Row],[listing_count]]-MIN(tblRestock[listing_count]))/(MAX(tblRestock[listing_count])-MIN(tblRestock[listing_count]))</f>
        <v>0.4</v>
      </c>
      <c r="M153">
        <f>$B$3*tblRestock[[#This Row],[Disc_N]]+$B$4*tblRestock[[#This Row],[Price_N]]+$B$5*tblRestock[[#This Row],[Vis_N]]</f>
        <v>0.18798561151079135</v>
      </c>
      <c r="N153">
        <f t="shared" si="2"/>
        <v>63</v>
      </c>
    </row>
    <row r="154" spans="1:14">
      <c r="A154">
        <v>595</v>
      </c>
      <c r="B154" t="s">
        <v>125</v>
      </c>
      <c r="C154" t="s">
        <v>1575</v>
      </c>
      <c r="D154">
        <v>125</v>
      </c>
      <c r="E154">
        <v>125</v>
      </c>
      <c r="F154">
        <v>0</v>
      </c>
      <c r="G154">
        <v>2</v>
      </c>
      <c r="H154">
        <v>2</v>
      </c>
      <c r="I154">
        <v>1000</v>
      </c>
      <c r="J154">
        <f>(tblRestock[[#This Row],[discount_percent]]-MIN(tblRestock[discount_percent]))/(MAX(tblRestock[discount_percent])-MIN(tblRestock[discount_percent]))</f>
        <v>0</v>
      </c>
      <c r="K154">
        <f>(tblRestock[[#This Row],[selling_price]]-MIN(tblRestock[selling_price]))/(MAX(tblRestock[selling_price])-MIN(tblRestock[selling_price]))</f>
        <v>0.20863309352517986</v>
      </c>
      <c r="L154">
        <f>(tblRestock[[#This Row],[listing_count]]-MIN(tblRestock[listing_count]))/(MAX(tblRestock[listing_count])-MIN(tblRestock[listing_count]))</f>
        <v>0.2</v>
      </c>
      <c r="M154">
        <f>$B$3*tblRestock[[#This Row],[Disc_N]]+$B$4*tblRestock[[#This Row],[Price_N]]+$B$5*tblRestock[[#This Row],[Vis_N]]</f>
        <v>0.12258992805755395</v>
      </c>
      <c r="N154">
        <f t="shared" si="2"/>
        <v>120</v>
      </c>
    </row>
    <row r="155" spans="1:14">
      <c r="A155">
        <v>3078</v>
      </c>
      <c r="B155" t="s">
        <v>1701</v>
      </c>
      <c r="C155" t="s">
        <v>1586</v>
      </c>
      <c r="D155">
        <v>123</v>
      </c>
      <c r="E155">
        <v>123</v>
      </c>
      <c r="F155">
        <v>0</v>
      </c>
      <c r="G155">
        <v>2</v>
      </c>
      <c r="H155">
        <v>2</v>
      </c>
      <c r="I155">
        <v>300</v>
      </c>
      <c r="J155">
        <f>(tblRestock[[#This Row],[discount_percent]]-MIN(tblRestock[discount_percent]))/(MAX(tblRestock[discount_percent])-MIN(tblRestock[discount_percent]))</f>
        <v>0</v>
      </c>
      <c r="K155">
        <f>(tblRestock[[#This Row],[selling_price]]-MIN(tblRestock[selling_price]))/(MAX(tblRestock[selling_price])-MIN(tblRestock[selling_price]))</f>
        <v>0.20503597122302158</v>
      </c>
      <c r="L155">
        <f>(tblRestock[[#This Row],[listing_count]]-MIN(tblRestock[listing_count]))/(MAX(tblRestock[listing_count])-MIN(tblRestock[listing_count]))</f>
        <v>0.2</v>
      </c>
      <c r="M155">
        <f>$B$3*tblRestock[[#This Row],[Disc_N]]+$B$4*tblRestock[[#This Row],[Price_N]]+$B$5*tblRestock[[#This Row],[Vis_N]]</f>
        <v>0.12151079136690647</v>
      </c>
      <c r="N155">
        <f t="shared" si="2"/>
        <v>121</v>
      </c>
    </row>
    <row r="156" spans="1:14">
      <c r="A156">
        <v>556</v>
      </c>
      <c r="B156" t="s">
        <v>1702</v>
      </c>
      <c r="C156" t="s">
        <v>1575</v>
      </c>
      <c r="D156">
        <v>120</v>
      </c>
      <c r="E156">
        <v>120</v>
      </c>
      <c r="F156">
        <v>0</v>
      </c>
      <c r="G156">
        <v>2</v>
      </c>
      <c r="H156">
        <v>2</v>
      </c>
      <c r="I156">
        <v>1000</v>
      </c>
      <c r="J156">
        <f>(tblRestock[[#This Row],[discount_percent]]-MIN(tblRestock[discount_percent]))/(MAX(tblRestock[discount_percent])-MIN(tblRestock[discount_percent]))</f>
        <v>0</v>
      </c>
      <c r="K156">
        <f>(tblRestock[[#This Row],[selling_price]]-MIN(tblRestock[selling_price]))/(MAX(tblRestock[selling_price])-MIN(tblRestock[selling_price]))</f>
        <v>0.19964028776978418</v>
      </c>
      <c r="L156">
        <f>(tblRestock[[#This Row],[listing_count]]-MIN(tblRestock[listing_count]))/(MAX(tblRestock[listing_count])-MIN(tblRestock[listing_count]))</f>
        <v>0.2</v>
      </c>
      <c r="M156">
        <f>$B$3*tblRestock[[#This Row],[Disc_N]]+$B$4*tblRestock[[#This Row],[Price_N]]+$B$5*tblRestock[[#This Row],[Vis_N]]</f>
        <v>0.11989208633093525</v>
      </c>
      <c r="N156">
        <f t="shared" si="2"/>
        <v>123</v>
      </c>
    </row>
    <row r="157" spans="1:14">
      <c r="A157">
        <v>607</v>
      </c>
      <c r="B157" t="s">
        <v>1703</v>
      </c>
      <c r="C157" t="s">
        <v>1575</v>
      </c>
      <c r="D157">
        <v>120</v>
      </c>
      <c r="E157">
        <v>120</v>
      </c>
      <c r="F157">
        <v>0</v>
      </c>
      <c r="G157">
        <v>2</v>
      </c>
      <c r="H157">
        <v>2</v>
      </c>
      <c r="I157">
        <v>1</v>
      </c>
      <c r="J157">
        <f>(tblRestock[[#This Row],[discount_percent]]-MIN(tblRestock[discount_percent]))/(MAX(tblRestock[discount_percent])-MIN(tblRestock[discount_percent]))</f>
        <v>0</v>
      </c>
      <c r="K157">
        <f>(tblRestock[[#This Row],[selling_price]]-MIN(tblRestock[selling_price]))/(MAX(tblRestock[selling_price])-MIN(tblRestock[selling_price]))</f>
        <v>0.19964028776978418</v>
      </c>
      <c r="L157">
        <f>(tblRestock[[#This Row],[listing_count]]-MIN(tblRestock[listing_count]))/(MAX(tblRestock[listing_count])-MIN(tblRestock[listing_count]))</f>
        <v>0.2</v>
      </c>
      <c r="M157">
        <f>$B$3*tblRestock[[#This Row],[Disc_N]]+$B$4*tblRestock[[#This Row],[Price_N]]+$B$5*tblRestock[[#This Row],[Vis_N]]</f>
        <v>0.11989208633093525</v>
      </c>
      <c r="N157">
        <f t="shared" si="2"/>
        <v>124</v>
      </c>
    </row>
    <row r="158" spans="1:14">
      <c r="A158">
        <v>3618</v>
      </c>
      <c r="B158" t="s">
        <v>1704</v>
      </c>
      <c r="C158" t="s">
        <v>1705</v>
      </c>
      <c r="D158">
        <v>116</v>
      </c>
      <c r="E158">
        <v>116</v>
      </c>
      <c r="F158">
        <v>0</v>
      </c>
      <c r="G158">
        <v>2</v>
      </c>
      <c r="H158">
        <v>2</v>
      </c>
      <c r="I158">
        <v>250</v>
      </c>
      <c r="J158">
        <f>(tblRestock[[#This Row],[discount_percent]]-MIN(tblRestock[discount_percent]))/(MAX(tblRestock[discount_percent])-MIN(tblRestock[discount_percent]))</f>
        <v>0</v>
      </c>
      <c r="K158">
        <f>(tblRestock[[#This Row],[selling_price]]-MIN(tblRestock[selling_price]))/(MAX(tblRestock[selling_price])-MIN(tblRestock[selling_price]))</f>
        <v>0.19244604316546762</v>
      </c>
      <c r="L158">
        <f>(tblRestock[[#This Row],[listing_count]]-MIN(tblRestock[listing_count]))/(MAX(tblRestock[listing_count])-MIN(tblRestock[listing_count]))</f>
        <v>0.2</v>
      </c>
      <c r="M158">
        <f>$B$3*tblRestock[[#This Row],[Disc_N]]+$B$4*tblRestock[[#This Row],[Price_N]]+$B$5*tblRestock[[#This Row],[Vis_N]]</f>
        <v>0.11773381294964028</v>
      </c>
      <c r="N158">
        <f t="shared" si="2"/>
        <v>129</v>
      </c>
    </row>
    <row r="159" spans="1:14">
      <c r="A159">
        <v>3096</v>
      </c>
      <c r="B159" t="s">
        <v>1706</v>
      </c>
      <c r="C159" t="s">
        <v>1586</v>
      </c>
      <c r="D159">
        <v>116</v>
      </c>
      <c r="E159">
        <v>116</v>
      </c>
      <c r="F159">
        <v>0</v>
      </c>
      <c r="G159">
        <v>2</v>
      </c>
      <c r="H159">
        <v>2</v>
      </c>
      <c r="I159">
        <v>400</v>
      </c>
      <c r="J159">
        <f>(tblRestock[[#This Row],[discount_percent]]-MIN(tblRestock[discount_percent]))/(MAX(tblRestock[discount_percent])-MIN(tblRestock[discount_percent]))</f>
        <v>0</v>
      </c>
      <c r="K159">
        <f>(tblRestock[[#This Row],[selling_price]]-MIN(tblRestock[selling_price]))/(MAX(tblRestock[selling_price])-MIN(tblRestock[selling_price]))</f>
        <v>0.19244604316546762</v>
      </c>
      <c r="L159">
        <f>(tblRestock[[#This Row],[listing_count]]-MIN(tblRestock[listing_count]))/(MAX(tblRestock[listing_count])-MIN(tblRestock[listing_count]))</f>
        <v>0.2</v>
      </c>
      <c r="M159">
        <f>$B$3*tblRestock[[#This Row],[Disc_N]]+$B$4*tblRestock[[#This Row],[Price_N]]+$B$5*tblRestock[[#This Row],[Vis_N]]</f>
        <v>0.11773381294964028</v>
      </c>
      <c r="N159">
        <f t="shared" si="2"/>
        <v>128</v>
      </c>
    </row>
    <row r="160" spans="1:14">
      <c r="A160">
        <v>572</v>
      </c>
      <c r="B160" t="s">
        <v>1707</v>
      </c>
      <c r="C160" t="s">
        <v>1571</v>
      </c>
      <c r="D160">
        <v>107</v>
      </c>
      <c r="E160">
        <v>107</v>
      </c>
      <c r="F160">
        <v>0</v>
      </c>
      <c r="G160">
        <v>5</v>
      </c>
      <c r="H160">
        <v>5</v>
      </c>
      <c r="I160">
        <v>600</v>
      </c>
      <c r="J160">
        <f>(tblRestock[[#This Row],[discount_percent]]-MIN(tblRestock[discount_percent]))/(MAX(tblRestock[discount_percent])-MIN(tblRestock[discount_percent]))</f>
        <v>0</v>
      </c>
      <c r="K160">
        <f>(tblRestock[[#This Row],[selling_price]]-MIN(tblRestock[selling_price]))/(MAX(tblRestock[selling_price])-MIN(tblRestock[selling_price]))</f>
        <v>0.17625899280575538</v>
      </c>
      <c r="L160">
        <f>(tblRestock[[#This Row],[listing_count]]-MIN(tblRestock[listing_count]))/(MAX(tblRestock[listing_count])-MIN(tblRestock[listing_count]))</f>
        <v>0.8</v>
      </c>
      <c r="M160">
        <f>$B$3*tblRestock[[#This Row],[Disc_N]]+$B$4*tblRestock[[#This Row],[Price_N]]+$B$5*tblRestock[[#This Row],[Vis_N]]</f>
        <v>0.29287769784172663</v>
      </c>
      <c r="N160">
        <f t="shared" si="2"/>
        <v>20</v>
      </c>
    </row>
    <row r="161" spans="1:14">
      <c r="A161">
        <v>602</v>
      </c>
      <c r="B161" t="s">
        <v>1708</v>
      </c>
      <c r="C161" t="s">
        <v>1575</v>
      </c>
      <c r="D161">
        <v>95</v>
      </c>
      <c r="E161">
        <v>95</v>
      </c>
      <c r="F161">
        <v>0</v>
      </c>
      <c r="G161">
        <v>2</v>
      </c>
      <c r="H161">
        <v>2</v>
      </c>
      <c r="I161">
        <v>250</v>
      </c>
      <c r="J161">
        <f>(tblRestock[[#This Row],[discount_percent]]-MIN(tblRestock[discount_percent]))/(MAX(tblRestock[discount_percent])-MIN(tblRestock[discount_percent]))</f>
        <v>0</v>
      </c>
      <c r="K161">
        <f>(tblRestock[[#This Row],[selling_price]]-MIN(tblRestock[selling_price]))/(MAX(tblRestock[selling_price])-MIN(tblRestock[selling_price]))</f>
        <v>0.15467625899280577</v>
      </c>
      <c r="L161">
        <f>(tblRestock[[#This Row],[listing_count]]-MIN(tblRestock[listing_count]))/(MAX(tblRestock[listing_count])-MIN(tblRestock[listing_count]))</f>
        <v>0.2</v>
      </c>
      <c r="M161">
        <f>$B$3*tblRestock[[#This Row],[Disc_N]]+$B$4*tblRestock[[#This Row],[Price_N]]+$B$5*tblRestock[[#This Row],[Vis_N]]</f>
        <v>0.10640287769784174</v>
      </c>
      <c r="N161">
        <f t="shared" si="2"/>
        <v>135</v>
      </c>
    </row>
    <row r="162" spans="1:14">
      <c r="A162">
        <v>3085</v>
      </c>
      <c r="B162" t="s">
        <v>1709</v>
      </c>
      <c r="C162" t="s">
        <v>1620</v>
      </c>
      <c r="D162">
        <v>90</v>
      </c>
      <c r="E162">
        <v>90</v>
      </c>
      <c r="F162">
        <v>0</v>
      </c>
      <c r="G162">
        <v>3</v>
      </c>
      <c r="H162">
        <v>3</v>
      </c>
      <c r="I162">
        <v>406</v>
      </c>
      <c r="J162">
        <f>(tblRestock[[#This Row],[discount_percent]]-MIN(tblRestock[discount_percent]))/(MAX(tblRestock[discount_percent])-MIN(tblRestock[discount_percent]))</f>
        <v>0</v>
      </c>
      <c r="K162">
        <f>(tblRestock[[#This Row],[selling_price]]-MIN(tblRestock[selling_price]))/(MAX(tblRestock[selling_price])-MIN(tblRestock[selling_price]))</f>
        <v>0.14568345323741008</v>
      </c>
      <c r="L162">
        <f>(tblRestock[[#This Row],[listing_count]]-MIN(tblRestock[listing_count]))/(MAX(tblRestock[listing_count])-MIN(tblRestock[listing_count]))</f>
        <v>0.4</v>
      </c>
      <c r="M162">
        <f>$B$3*tblRestock[[#This Row],[Disc_N]]+$B$4*tblRestock[[#This Row],[Price_N]]+$B$5*tblRestock[[#This Row],[Vis_N]]</f>
        <v>0.16370503597122302</v>
      </c>
      <c r="N162">
        <f t="shared" si="2"/>
        <v>80</v>
      </c>
    </row>
    <row r="163" spans="1:14">
      <c r="A163">
        <v>1239</v>
      </c>
      <c r="B163" t="s">
        <v>1710</v>
      </c>
      <c r="C163" t="s">
        <v>1569</v>
      </c>
      <c r="D163">
        <v>89</v>
      </c>
      <c r="E163">
        <v>89</v>
      </c>
      <c r="F163">
        <v>0</v>
      </c>
      <c r="G163">
        <v>2</v>
      </c>
      <c r="H163">
        <v>2</v>
      </c>
      <c r="I163">
        <v>1000</v>
      </c>
      <c r="J163">
        <f>(tblRestock[[#This Row],[discount_percent]]-MIN(tblRestock[discount_percent]))/(MAX(tblRestock[discount_percent])-MIN(tblRestock[discount_percent]))</f>
        <v>0</v>
      </c>
      <c r="K163">
        <f>(tblRestock[[#This Row],[selling_price]]-MIN(tblRestock[selling_price]))/(MAX(tblRestock[selling_price])-MIN(tblRestock[selling_price]))</f>
        <v>0.14388489208633093</v>
      </c>
      <c r="L163">
        <f>(tblRestock[[#This Row],[listing_count]]-MIN(tblRestock[listing_count]))/(MAX(tblRestock[listing_count])-MIN(tblRestock[listing_count]))</f>
        <v>0.2</v>
      </c>
      <c r="M163">
        <f>$B$3*tblRestock[[#This Row],[Disc_N]]+$B$4*tblRestock[[#This Row],[Price_N]]+$B$5*tblRestock[[#This Row],[Vis_N]]</f>
        <v>0.10316546762589927</v>
      </c>
      <c r="N163">
        <f t="shared" si="2"/>
        <v>138</v>
      </c>
    </row>
    <row r="164" spans="1:14">
      <c r="A164">
        <v>3619</v>
      </c>
      <c r="B164" t="s">
        <v>1711</v>
      </c>
      <c r="C164" t="s">
        <v>27</v>
      </c>
      <c r="D164">
        <v>89</v>
      </c>
      <c r="E164">
        <v>89</v>
      </c>
      <c r="F164">
        <v>0</v>
      </c>
      <c r="G164">
        <v>1</v>
      </c>
      <c r="H164">
        <v>1</v>
      </c>
      <c r="I164">
        <v>60</v>
      </c>
      <c r="J164">
        <f>(tblRestock[[#This Row],[discount_percent]]-MIN(tblRestock[discount_percent]))/(MAX(tblRestock[discount_percent])-MIN(tblRestock[discount_percent]))</f>
        <v>0</v>
      </c>
      <c r="K164">
        <f>(tblRestock[[#This Row],[selling_price]]-MIN(tblRestock[selling_price]))/(MAX(tblRestock[selling_price])-MIN(tblRestock[selling_price]))</f>
        <v>0.14388489208633093</v>
      </c>
      <c r="L164">
        <f>(tblRestock[[#This Row],[listing_count]]-MIN(tblRestock[listing_count]))/(MAX(tblRestock[listing_count])-MIN(tblRestock[listing_count]))</f>
        <v>0</v>
      </c>
      <c r="M164">
        <f>$B$3*tblRestock[[#This Row],[Disc_N]]+$B$4*tblRestock[[#This Row],[Price_N]]+$B$5*tblRestock[[#This Row],[Vis_N]]</f>
        <v>4.3165467625899276E-2</v>
      </c>
      <c r="N164">
        <f t="shared" si="2"/>
        <v>182</v>
      </c>
    </row>
    <row r="165" spans="1:14">
      <c r="A165">
        <v>1765</v>
      </c>
      <c r="B165" t="s">
        <v>1712</v>
      </c>
      <c r="C165" t="s">
        <v>1577</v>
      </c>
      <c r="D165">
        <v>85</v>
      </c>
      <c r="E165">
        <v>85</v>
      </c>
      <c r="F165">
        <v>0</v>
      </c>
      <c r="G165">
        <v>3</v>
      </c>
      <c r="H165">
        <v>3</v>
      </c>
      <c r="I165">
        <v>400</v>
      </c>
      <c r="J165">
        <f>(tblRestock[[#This Row],[discount_percent]]-MIN(tblRestock[discount_percent]))/(MAX(tblRestock[discount_percent])-MIN(tblRestock[discount_percent]))</f>
        <v>0</v>
      </c>
      <c r="K165">
        <f>(tblRestock[[#This Row],[selling_price]]-MIN(tblRestock[selling_price]))/(MAX(tblRestock[selling_price])-MIN(tblRestock[selling_price]))</f>
        <v>0.1366906474820144</v>
      </c>
      <c r="L165">
        <f>(tblRestock[[#This Row],[listing_count]]-MIN(tblRestock[listing_count]))/(MAX(tblRestock[listing_count])-MIN(tblRestock[listing_count]))</f>
        <v>0.4</v>
      </c>
      <c r="M165">
        <f>$B$3*tblRestock[[#This Row],[Disc_N]]+$B$4*tblRestock[[#This Row],[Price_N]]+$B$5*tblRestock[[#This Row],[Vis_N]]</f>
        <v>0.1610071942446043</v>
      </c>
      <c r="N165">
        <f t="shared" si="2"/>
        <v>84</v>
      </c>
    </row>
    <row r="166" spans="1:14">
      <c r="A166">
        <v>1235</v>
      </c>
      <c r="B166" t="s">
        <v>1713</v>
      </c>
      <c r="C166" t="s">
        <v>1580</v>
      </c>
      <c r="D166">
        <v>85</v>
      </c>
      <c r="E166">
        <v>85</v>
      </c>
      <c r="F166">
        <v>0</v>
      </c>
      <c r="G166">
        <v>5</v>
      </c>
      <c r="H166">
        <v>5</v>
      </c>
      <c r="I166">
        <v>200</v>
      </c>
      <c r="J166">
        <f>(tblRestock[[#This Row],[discount_percent]]-MIN(tblRestock[discount_percent]))/(MAX(tblRestock[discount_percent])-MIN(tblRestock[discount_percent]))</f>
        <v>0</v>
      </c>
      <c r="K166">
        <f>(tblRestock[[#This Row],[selling_price]]-MIN(tblRestock[selling_price]))/(MAX(tblRestock[selling_price])-MIN(tblRestock[selling_price]))</f>
        <v>0.1366906474820144</v>
      </c>
      <c r="L166">
        <f>(tblRestock[[#This Row],[listing_count]]-MIN(tblRestock[listing_count]))/(MAX(tblRestock[listing_count])-MIN(tblRestock[listing_count]))</f>
        <v>0.8</v>
      </c>
      <c r="M166">
        <f>$B$3*tblRestock[[#This Row],[Disc_N]]+$B$4*tblRestock[[#This Row],[Price_N]]+$B$5*tblRestock[[#This Row],[Vis_N]]</f>
        <v>0.2810071942446043</v>
      </c>
      <c r="N166">
        <f t="shared" si="2"/>
        <v>24</v>
      </c>
    </row>
    <row r="167" spans="1:14">
      <c r="A167">
        <v>3087</v>
      </c>
      <c r="B167" t="s">
        <v>1714</v>
      </c>
      <c r="C167" t="s">
        <v>1586</v>
      </c>
      <c r="D167">
        <v>84</v>
      </c>
      <c r="E167">
        <v>84</v>
      </c>
      <c r="F167">
        <v>0</v>
      </c>
      <c r="G167">
        <v>2</v>
      </c>
      <c r="H167">
        <v>2</v>
      </c>
      <c r="I167">
        <v>400</v>
      </c>
      <c r="J167">
        <f>(tblRestock[[#This Row],[discount_percent]]-MIN(tblRestock[discount_percent]))/(MAX(tblRestock[discount_percent])-MIN(tblRestock[discount_percent]))</f>
        <v>0</v>
      </c>
      <c r="K167">
        <f>(tblRestock[[#This Row],[selling_price]]-MIN(tblRestock[selling_price]))/(MAX(tblRestock[selling_price])-MIN(tblRestock[selling_price]))</f>
        <v>0.13489208633093525</v>
      </c>
      <c r="L167">
        <f>(tblRestock[[#This Row],[listing_count]]-MIN(tblRestock[listing_count]))/(MAX(tblRestock[listing_count])-MIN(tblRestock[listing_count]))</f>
        <v>0.2</v>
      </c>
      <c r="M167">
        <f>$B$3*tblRestock[[#This Row],[Disc_N]]+$B$4*tblRestock[[#This Row],[Price_N]]+$B$5*tblRestock[[#This Row],[Vis_N]]</f>
        <v>0.10046762589928057</v>
      </c>
      <c r="N167">
        <f t="shared" si="2"/>
        <v>141</v>
      </c>
    </row>
    <row r="168" spans="1:14">
      <c r="A168">
        <v>2739</v>
      </c>
      <c r="B168" t="s">
        <v>1715</v>
      </c>
      <c r="C168" t="s">
        <v>14</v>
      </c>
      <c r="D168">
        <v>80</v>
      </c>
      <c r="E168">
        <v>80</v>
      </c>
      <c r="F168">
        <v>0</v>
      </c>
      <c r="G168">
        <v>1</v>
      </c>
      <c r="H168">
        <v>1</v>
      </c>
      <c r="I168">
        <v>300</v>
      </c>
      <c r="J168">
        <f>(tblRestock[[#This Row],[discount_percent]]-MIN(tblRestock[discount_percent]))/(MAX(tblRestock[discount_percent])-MIN(tblRestock[discount_percent]))</f>
        <v>0</v>
      </c>
      <c r="K168">
        <f>(tblRestock[[#This Row],[selling_price]]-MIN(tblRestock[selling_price]))/(MAX(tblRestock[selling_price])-MIN(tblRestock[selling_price]))</f>
        <v>0.12769784172661872</v>
      </c>
      <c r="L168">
        <f>(tblRestock[[#This Row],[listing_count]]-MIN(tblRestock[listing_count]))/(MAX(tblRestock[listing_count])-MIN(tblRestock[listing_count]))</f>
        <v>0</v>
      </c>
      <c r="M168">
        <f>$B$3*tblRestock[[#This Row],[Disc_N]]+$B$4*tblRestock[[#This Row],[Price_N]]+$B$5*tblRestock[[#This Row],[Vis_N]]</f>
        <v>3.8309352517985611E-2</v>
      </c>
      <c r="N168">
        <f t="shared" si="2"/>
        <v>185</v>
      </c>
    </row>
    <row r="169" spans="1:14">
      <c r="A169">
        <v>1248</v>
      </c>
      <c r="B169" t="s">
        <v>1716</v>
      </c>
      <c r="C169" t="s">
        <v>1569</v>
      </c>
      <c r="D169">
        <v>80</v>
      </c>
      <c r="E169">
        <v>80</v>
      </c>
      <c r="F169">
        <v>0</v>
      </c>
      <c r="G169">
        <v>2</v>
      </c>
      <c r="H169">
        <v>2</v>
      </c>
      <c r="I169">
        <v>200</v>
      </c>
      <c r="J169">
        <f>(tblRestock[[#This Row],[discount_percent]]-MIN(tblRestock[discount_percent]))/(MAX(tblRestock[discount_percent])-MIN(tblRestock[discount_percent]))</f>
        <v>0</v>
      </c>
      <c r="K169">
        <f>(tblRestock[[#This Row],[selling_price]]-MIN(tblRestock[selling_price]))/(MAX(tblRestock[selling_price])-MIN(tblRestock[selling_price]))</f>
        <v>0.12769784172661872</v>
      </c>
      <c r="L169">
        <f>(tblRestock[[#This Row],[listing_count]]-MIN(tblRestock[listing_count]))/(MAX(tblRestock[listing_count])-MIN(tblRestock[listing_count]))</f>
        <v>0.2</v>
      </c>
      <c r="M169">
        <f>$B$3*tblRestock[[#This Row],[Disc_N]]+$B$4*tblRestock[[#This Row],[Price_N]]+$B$5*tblRestock[[#This Row],[Vis_N]]</f>
        <v>9.8309352517985615E-2</v>
      </c>
      <c r="N169">
        <f t="shared" si="2"/>
        <v>144</v>
      </c>
    </row>
    <row r="170" spans="1:14">
      <c r="A170">
        <v>2725</v>
      </c>
      <c r="B170" t="s">
        <v>1717</v>
      </c>
      <c r="C170" t="s">
        <v>14</v>
      </c>
      <c r="D170">
        <v>80</v>
      </c>
      <c r="E170">
        <v>80</v>
      </c>
      <c r="F170">
        <v>0</v>
      </c>
      <c r="G170">
        <v>1</v>
      </c>
      <c r="H170">
        <v>1</v>
      </c>
      <c r="I170">
        <v>600</v>
      </c>
      <c r="J170">
        <f>(tblRestock[[#This Row],[discount_percent]]-MIN(tblRestock[discount_percent]))/(MAX(tblRestock[discount_percent])-MIN(tblRestock[discount_percent]))</f>
        <v>0</v>
      </c>
      <c r="K170">
        <f>(tblRestock[[#This Row],[selling_price]]-MIN(tblRestock[selling_price]))/(MAX(tblRestock[selling_price])-MIN(tblRestock[selling_price]))</f>
        <v>0.12769784172661872</v>
      </c>
      <c r="L170">
        <f>(tblRestock[[#This Row],[listing_count]]-MIN(tblRestock[listing_count]))/(MAX(tblRestock[listing_count])-MIN(tblRestock[listing_count]))</f>
        <v>0</v>
      </c>
      <c r="M170">
        <f>$B$3*tblRestock[[#This Row],[Disc_N]]+$B$4*tblRestock[[#This Row],[Price_N]]+$B$5*tblRestock[[#This Row],[Vis_N]]</f>
        <v>3.8309352517985611E-2</v>
      </c>
      <c r="N170">
        <f t="shared" si="2"/>
        <v>184</v>
      </c>
    </row>
    <row r="171" spans="1:14">
      <c r="A171">
        <v>576</v>
      </c>
      <c r="B171" t="s">
        <v>1718</v>
      </c>
      <c r="C171" t="s">
        <v>1575</v>
      </c>
      <c r="D171">
        <v>79</v>
      </c>
      <c r="E171">
        <v>79</v>
      </c>
      <c r="F171">
        <v>0</v>
      </c>
      <c r="G171">
        <v>2</v>
      </c>
      <c r="H171">
        <v>2</v>
      </c>
      <c r="I171">
        <v>1000</v>
      </c>
      <c r="J171">
        <f>(tblRestock[[#This Row],[discount_percent]]-MIN(tblRestock[discount_percent]))/(MAX(tblRestock[discount_percent])-MIN(tblRestock[discount_percent]))</f>
        <v>0</v>
      </c>
      <c r="K171">
        <f>(tblRestock[[#This Row],[selling_price]]-MIN(tblRestock[selling_price]))/(MAX(tblRestock[selling_price])-MIN(tblRestock[selling_price]))</f>
        <v>0.12589928057553956</v>
      </c>
      <c r="L171">
        <f>(tblRestock[[#This Row],[listing_count]]-MIN(tblRestock[listing_count]))/(MAX(tblRestock[listing_count])-MIN(tblRestock[listing_count]))</f>
        <v>0.2</v>
      </c>
      <c r="M171">
        <f>$B$3*tblRestock[[#This Row],[Disc_N]]+$B$4*tblRestock[[#This Row],[Price_N]]+$B$5*tblRestock[[#This Row],[Vis_N]]</f>
        <v>9.7769784172661856E-2</v>
      </c>
      <c r="N171">
        <f t="shared" si="2"/>
        <v>145</v>
      </c>
    </row>
    <row r="172" spans="1:14">
      <c r="A172">
        <v>1766</v>
      </c>
      <c r="B172" t="s">
        <v>1719</v>
      </c>
      <c r="C172" t="s">
        <v>1577</v>
      </c>
      <c r="D172">
        <v>79</v>
      </c>
      <c r="E172">
        <v>79</v>
      </c>
      <c r="F172">
        <v>0</v>
      </c>
      <c r="G172">
        <v>3</v>
      </c>
      <c r="H172">
        <v>3</v>
      </c>
      <c r="I172">
        <v>250</v>
      </c>
      <c r="J172">
        <f>(tblRestock[[#This Row],[discount_percent]]-MIN(tblRestock[discount_percent]))/(MAX(tblRestock[discount_percent])-MIN(tblRestock[discount_percent]))</f>
        <v>0</v>
      </c>
      <c r="K172">
        <f>(tblRestock[[#This Row],[selling_price]]-MIN(tblRestock[selling_price]))/(MAX(tblRestock[selling_price])-MIN(tblRestock[selling_price]))</f>
        <v>0.12589928057553956</v>
      </c>
      <c r="L172">
        <f>(tblRestock[[#This Row],[listing_count]]-MIN(tblRestock[listing_count]))/(MAX(tblRestock[listing_count])-MIN(tblRestock[listing_count]))</f>
        <v>0.4</v>
      </c>
      <c r="M172">
        <f>$B$3*tblRestock[[#This Row],[Disc_N]]+$B$4*tblRestock[[#This Row],[Price_N]]+$B$5*tblRestock[[#This Row],[Vis_N]]</f>
        <v>0.15776978417266185</v>
      </c>
      <c r="N172">
        <f t="shared" si="2"/>
        <v>88</v>
      </c>
    </row>
    <row r="173" spans="1:14">
      <c r="A173">
        <v>2732</v>
      </c>
      <c r="B173" t="s">
        <v>1720</v>
      </c>
      <c r="C173" t="s">
        <v>14</v>
      </c>
      <c r="D173">
        <v>75</v>
      </c>
      <c r="E173">
        <v>75</v>
      </c>
      <c r="F173">
        <v>0</v>
      </c>
      <c r="G173">
        <v>1</v>
      </c>
      <c r="H173">
        <v>1</v>
      </c>
      <c r="I173">
        <v>200</v>
      </c>
      <c r="J173">
        <f>(tblRestock[[#This Row],[discount_percent]]-MIN(tblRestock[discount_percent]))/(MAX(tblRestock[discount_percent])-MIN(tblRestock[discount_percent]))</f>
        <v>0</v>
      </c>
      <c r="K173">
        <f>(tblRestock[[#This Row],[selling_price]]-MIN(tblRestock[selling_price]))/(MAX(tblRestock[selling_price])-MIN(tblRestock[selling_price]))</f>
        <v>0.11870503597122302</v>
      </c>
      <c r="L173">
        <f>(tblRestock[[#This Row],[listing_count]]-MIN(tblRestock[listing_count]))/(MAX(tblRestock[listing_count])-MIN(tblRestock[listing_count]))</f>
        <v>0</v>
      </c>
      <c r="M173">
        <f>$B$3*tblRestock[[#This Row],[Disc_N]]+$B$4*tblRestock[[#This Row],[Price_N]]+$B$5*tblRestock[[#This Row],[Vis_N]]</f>
        <v>3.5611510791366902E-2</v>
      </c>
      <c r="N173">
        <f t="shared" si="2"/>
        <v>186</v>
      </c>
    </row>
    <row r="174" spans="1:14">
      <c r="A174">
        <v>563</v>
      </c>
      <c r="B174" t="s">
        <v>1721</v>
      </c>
      <c r="C174" t="s">
        <v>1575</v>
      </c>
      <c r="D174">
        <v>75</v>
      </c>
      <c r="E174">
        <v>75</v>
      </c>
      <c r="F174">
        <v>0</v>
      </c>
      <c r="G174">
        <v>2</v>
      </c>
      <c r="H174">
        <v>2</v>
      </c>
      <c r="I174">
        <v>1000</v>
      </c>
      <c r="J174">
        <f>(tblRestock[[#This Row],[discount_percent]]-MIN(tblRestock[discount_percent]))/(MAX(tblRestock[discount_percent])-MIN(tblRestock[discount_percent]))</f>
        <v>0</v>
      </c>
      <c r="K174">
        <f>(tblRestock[[#This Row],[selling_price]]-MIN(tblRestock[selling_price]))/(MAX(tblRestock[selling_price])-MIN(tblRestock[selling_price]))</f>
        <v>0.11870503597122302</v>
      </c>
      <c r="L174">
        <f>(tblRestock[[#This Row],[listing_count]]-MIN(tblRestock[listing_count]))/(MAX(tblRestock[listing_count])-MIN(tblRestock[listing_count]))</f>
        <v>0.2</v>
      </c>
      <c r="M174">
        <f>$B$3*tblRestock[[#This Row],[Disc_N]]+$B$4*tblRestock[[#This Row],[Price_N]]+$B$5*tblRestock[[#This Row],[Vis_N]]</f>
        <v>9.5611510791366899E-2</v>
      </c>
      <c r="N174">
        <f t="shared" si="2"/>
        <v>151</v>
      </c>
    </row>
    <row r="175" spans="1:14">
      <c r="A175">
        <v>1228</v>
      </c>
      <c r="B175" t="s">
        <v>1722</v>
      </c>
      <c r="C175" t="s">
        <v>1569</v>
      </c>
      <c r="D175">
        <v>75</v>
      </c>
      <c r="E175">
        <v>75</v>
      </c>
      <c r="F175">
        <v>0</v>
      </c>
      <c r="G175">
        <v>2</v>
      </c>
      <c r="H175">
        <v>2</v>
      </c>
      <c r="I175">
        <v>1000</v>
      </c>
      <c r="J175">
        <f>(tblRestock[[#This Row],[discount_percent]]-MIN(tblRestock[discount_percent]))/(MAX(tblRestock[discount_percent])-MIN(tblRestock[discount_percent]))</f>
        <v>0</v>
      </c>
      <c r="K175">
        <f>(tblRestock[[#This Row],[selling_price]]-MIN(tblRestock[selling_price]))/(MAX(tblRestock[selling_price])-MIN(tblRestock[selling_price]))</f>
        <v>0.11870503597122302</v>
      </c>
      <c r="L175">
        <f>(tblRestock[[#This Row],[listing_count]]-MIN(tblRestock[listing_count]))/(MAX(tblRestock[listing_count])-MIN(tblRestock[listing_count]))</f>
        <v>0.2</v>
      </c>
      <c r="M175">
        <f>$B$3*tblRestock[[#This Row],[Disc_N]]+$B$4*tblRestock[[#This Row],[Price_N]]+$B$5*tblRestock[[#This Row],[Vis_N]]</f>
        <v>9.5611510791366899E-2</v>
      </c>
      <c r="N175">
        <f t="shared" si="2"/>
        <v>152</v>
      </c>
    </row>
    <row r="176" spans="1:14">
      <c r="A176">
        <v>605</v>
      </c>
      <c r="B176" t="s">
        <v>1723</v>
      </c>
      <c r="C176" t="s">
        <v>1571</v>
      </c>
      <c r="D176">
        <v>72</v>
      </c>
      <c r="E176">
        <v>72</v>
      </c>
      <c r="F176">
        <v>0</v>
      </c>
      <c r="G176">
        <v>5</v>
      </c>
      <c r="H176">
        <v>5</v>
      </c>
      <c r="I176">
        <v>280</v>
      </c>
      <c r="J176">
        <f>(tblRestock[[#This Row],[discount_percent]]-MIN(tblRestock[discount_percent]))/(MAX(tblRestock[discount_percent])-MIN(tblRestock[discount_percent]))</f>
        <v>0</v>
      </c>
      <c r="K176">
        <f>(tblRestock[[#This Row],[selling_price]]-MIN(tblRestock[selling_price]))/(MAX(tblRestock[selling_price])-MIN(tblRestock[selling_price]))</f>
        <v>0.11330935251798561</v>
      </c>
      <c r="L176">
        <f>(tblRestock[[#This Row],[listing_count]]-MIN(tblRestock[listing_count]))/(MAX(tblRestock[listing_count])-MIN(tblRestock[listing_count]))</f>
        <v>0.8</v>
      </c>
      <c r="M176">
        <f>$B$3*tblRestock[[#This Row],[Disc_N]]+$B$4*tblRestock[[#This Row],[Price_N]]+$B$5*tblRestock[[#This Row],[Vis_N]]</f>
        <v>0.2739928057553957</v>
      </c>
      <c r="N176">
        <f t="shared" si="2"/>
        <v>27</v>
      </c>
    </row>
    <row r="177" spans="1:14">
      <c r="A177">
        <v>2748</v>
      </c>
      <c r="B177" t="s">
        <v>169</v>
      </c>
      <c r="C177" t="s">
        <v>14</v>
      </c>
      <c r="D177">
        <v>70</v>
      </c>
      <c r="E177">
        <v>70</v>
      </c>
      <c r="F177">
        <v>0</v>
      </c>
      <c r="G177">
        <v>1</v>
      </c>
      <c r="H177">
        <v>1</v>
      </c>
      <c r="I177">
        <v>500</v>
      </c>
      <c r="J177">
        <f>(tblRestock[[#This Row],[discount_percent]]-MIN(tblRestock[discount_percent]))/(MAX(tblRestock[discount_percent])-MIN(tblRestock[discount_percent]))</f>
        <v>0</v>
      </c>
      <c r="K177">
        <f>(tblRestock[[#This Row],[selling_price]]-MIN(tblRestock[selling_price]))/(MAX(tblRestock[selling_price])-MIN(tblRestock[selling_price]))</f>
        <v>0.10971223021582734</v>
      </c>
      <c r="L177">
        <f>(tblRestock[[#This Row],[listing_count]]-MIN(tblRestock[listing_count]))/(MAX(tblRestock[listing_count])-MIN(tblRestock[listing_count]))</f>
        <v>0</v>
      </c>
      <c r="M177">
        <f>$B$3*tblRestock[[#This Row],[Disc_N]]+$B$4*tblRestock[[#This Row],[Price_N]]+$B$5*tblRestock[[#This Row],[Vis_N]]</f>
        <v>3.2913669064748199E-2</v>
      </c>
      <c r="N177">
        <f t="shared" si="2"/>
        <v>189</v>
      </c>
    </row>
    <row r="178" spans="1:14">
      <c r="A178">
        <v>2743</v>
      </c>
      <c r="B178" t="s">
        <v>1724</v>
      </c>
      <c r="C178" t="s">
        <v>14</v>
      </c>
      <c r="D178">
        <v>65</v>
      </c>
      <c r="E178">
        <v>65</v>
      </c>
      <c r="F178">
        <v>0</v>
      </c>
      <c r="G178">
        <v>1</v>
      </c>
      <c r="H178">
        <v>1</v>
      </c>
      <c r="I178">
        <v>200</v>
      </c>
      <c r="J178">
        <f>(tblRestock[[#This Row],[discount_percent]]-MIN(tblRestock[discount_percent]))/(MAX(tblRestock[discount_percent])-MIN(tblRestock[discount_percent]))</f>
        <v>0</v>
      </c>
      <c r="K178">
        <f>(tblRestock[[#This Row],[selling_price]]-MIN(tblRestock[selling_price]))/(MAX(tblRestock[selling_price])-MIN(tblRestock[selling_price]))</f>
        <v>0.10071942446043165</v>
      </c>
      <c r="L178">
        <f>(tblRestock[[#This Row],[listing_count]]-MIN(tblRestock[listing_count]))/(MAX(tblRestock[listing_count])-MIN(tblRestock[listing_count]))</f>
        <v>0</v>
      </c>
      <c r="M178">
        <f>$B$3*tblRestock[[#This Row],[Disc_N]]+$B$4*tblRestock[[#This Row],[Price_N]]+$B$5*tblRestock[[#This Row],[Vis_N]]</f>
        <v>3.0215827338129494E-2</v>
      </c>
      <c r="N178">
        <f t="shared" si="2"/>
        <v>190</v>
      </c>
    </row>
    <row r="179" spans="1:14">
      <c r="A179">
        <v>1238</v>
      </c>
      <c r="B179" t="s">
        <v>1725</v>
      </c>
      <c r="C179" t="s">
        <v>1569</v>
      </c>
      <c r="D179">
        <v>65</v>
      </c>
      <c r="E179">
        <v>65</v>
      </c>
      <c r="F179">
        <v>0</v>
      </c>
      <c r="G179">
        <v>2</v>
      </c>
      <c r="H179">
        <v>2</v>
      </c>
      <c r="I179">
        <v>400</v>
      </c>
      <c r="J179">
        <f>(tblRestock[[#This Row],[discount_percent]]-MIN(tblRestock[discount_percent]))/(MAX(tblRestock[discount_percent])-MIN(tblRestock[discount_percent]))</f>
        <v>0</v>
      </c>
      <c r="K179">
        <f>(tblRestock[[#This Row],[selling_price]]-MIN(tblRestock[selling_price]))/(MAX(tblRestock[selling_price])-MIN(tblRestock[selling_price]))</f>
        <v>0.10071942446043165</v>
      </c>
      <c r="L179">
        <f>(tblRestock[[#This Row],[listing_count]]-MIN(tblRestock[listing_count]))/(MAX(tblRestock[listing_count])-MIN(tblRestock[listing_count]))</f>
        <v>0.2</v>
      </c>
      <c r="M179">
        <f>$B$3*tblRestock[[#This Row],[Disc_N]]+$B$4*tblRestock[[#This Row],[Price_N]]+$B$5*tblRestock[[#This Row],[Vis_N]]</f>
        <v>9.0215827338129495E-2</v>
      </c>
      <c r="N179">
        <f t="shared" si="2"/>
        <v>156</v>
      </c>
    </row>
    <row r="180" spans="1:14">
      <c r="A180">
        <v>564</v>
      </c>
      <c r="B180" t="s">
        <v>1726</v>
      </c>
      <c r="C180" t="s">
        <v>1575</v>
      </c>
      <c r="D180">
        <v>64</v>
      </c>
      <c r="E180">
        <v>64</v>
      </c>
      <c r="F180">
        <v>0</v>
      </c>
      <c r="G180">
        <v>2</v>
      </c>
      <c r="H180">
        <v>2</v>
      </c>
      <c r="I180">
        <v>500</v>
      </c>
      <c r="J180">
        <f>(tblRestock[[#This Row],[discount_percent]]-MIN(tblRestock[discount_percent]))/(MAX(tblRestock[discount_percent])-MIN(tblRestock[discount_percent]))</f>
        <v>0</v>
      </c>
      <c r="K180">
        <f>(tblRestock[[#This Row],[selling_price]]-MIN(tblRestock[selling_price]))/(MAX(tblRestock[selling_price])-MIN(tblRestock[selling_price]))</f>
        <v>9.8920863309352514E-2</v>
      </c>
      <c r="L180">
        <f>(tblRestock[[#This Row],[listing_count]]-MIN(tblRestock[listing_count]))/(MAX(tblRestock[listing_count])-MIN(tblRestock[listing_count]))</f>
        <v>0.2</v>
      </c>
      <c r="M180">
        <f>$B$3*tblRestock[[#This Row],[Disc_N]]+$B$4*tblRestock[[#This Row],[Price_N]]+$B$5*tblRestock[[#This Row],[Vis_N]]</f>
        <v>8.9676258992805749E-2</v>
      </c>
      <c r="N180">
        <f t="shared" si="2"/>
        <v>158</v>
      </c>
    </row>
    <row r="181" spans="1:14">
      <c r="A181">
        <v>545</v>
      </c>
      <c r="B181" t="s">
        <v>160</v>
      </c>
      <c r="C181" t="s">
        <v>1727</v>
      </c>
      <c r="D181">
        <v>63</v>
      </c>
      <c r="E181">
        <v>63</v>
      </c>
      <c r="F181">
        <v>0</v>
      </c>
      <c r="G181">
        <v>4</v>
      </c>
      <c r="H181">
        <v>4</v>
      </c>
      <c r="I181">
        <v>250</v>
      </c>
      <c r="J181">
        <f>(tblRestock[[#This Row],[discount_percent]]-MIN(tblRestock[discount_percent]))/(MAX(tblRestock[discount_percent])-MIN(tblRestock[discount_percent]))</f>
        <v>0</v>
      </c>
      <c r="K181">
        <f>(tblRestock[[#This Row],[selling_price]]-MIN(tblRestock[selling_price]))/(MAX(tblRestock[selling_price])-MIN(tblRestock[selling_price]))</f>
        <v>9.7122302158273388E-2</v>
      </c>
      <c r="L181">
        <f>(tblRestock[[#This Row],[listing_count]]-MIN(tblRestock[listing_count]))/(MAX(tblRestock[listing_count])-MIN(tblRestock[listing_count]))</f>
        <v>0.6</v>
      </c>
      <c r="M181">
        <f>$B$3*tblRestock[[#This Row],[Disc_N]]+$B$4*tblRestock[[#This Row],[Price_N]]+$B$5*tblRestock[[#This Row],[Vis_N]]</f>
        <v>0.209136690647482</v>
      </c>
      <c r="N181">
        <f t="shared" si="2"/>
        <v>48</v>
      </c>
    </row>
    <row r="182" spans="1:14">
      <c r="A182">
        <v>1237</v>
      </c>
      <c r="B182" t="s">
        <v>172</v>
      </c>
      <c r="C182" t="s">
        <v>1582</v>
      </c>
      <c r="D182">
        <v>62</v>
      </c>
      <c r="E182">
        <v>62</v>
      </c>
      <c r="F182">
        <v>0</v>
      </c>
      <c r="G182">
        <v>3</v>
      </c>
      <c r="H182">
        <v>3</v>
      </c>
      <c r="I182">
        <v>696</v>
      </c>
      <c r="J182">
        <f>(tblRestock[[#This Row],[discount_percent]]-MIN(tblRestock[discount_percent]))/(MAX(tblRestock[discount_percent])-MIN(tblRestock[discount_percent]))</f>
        <v>0</v>
      </c>
      <c r="K182">
        <f>(tblRestock[[#This Row],[selling_price]]-MIN(tblRestock[selling_price]))/(MAX(tblRestock[selling_price])-MIN(tblRestock[selling_price]))</f>
        <v>9.5323741007194249E-2</v>
      </c>
      <c r="L182">
        <f>(tblRestock[[#This Row],[listing_count]]-MIN(tblRestock[listing_count]))/(MAX(tblRestock[listing_count])-MIN(tblRestock[listing_count]))</f>
        <v>0.4</v>
      </c>
      <c r="M182">
        <f>$B$3*tblRestock[[#This Row],[Disc_N]]+$B$4*tblRestock[[#This Row],[Price_N]]+$B$5*tblRestock[[#This Row],[Vis_N]]</f>
        <v>0.14859712230215827</v>
      </c>
      <c r="N182">
        <f t="shared" si="2"/>
        <v>96</v>
      </c>
    </row>
    <row r="183" spans="1:14">
      <c r="A183">
        <v>3731</v>
      </c>
      <c r="B183" t="s">
        <v>156</v>
      </c>
      <c r="C183" t="s">
        <v>21</v>
      </c>
      <c r="D183">
        <v>60</v>
      </c>
      <c r="E183">
        <v>60</v>
      </c>
      <c r="F183">
        <v>0</v>
      </c>
      <c r="G183">
        <v>1</v>
      </c>
      <c r="H183">
        <v>1</v>
      </c>
      <c r="I183">
        <v>50</v>
      </c>
      <c r="J183">
        <f>(tblRestock[[#This Row],[discount_percent]]-MIN(tblRestock[discount_percent]))/(MAX(tblRestock[discount_percent])-MIN(tblRestock[discount_percent]))</f>
        <v>0</v>
      </c>
      <c r="K183">
        <f>(tblRestock[[#This Row],[selling_price]]-MIN(tblRestock[selling_price]))/(MAX(tblRestock[selling_price])-MIN(tblRestock[selling_price]))</f>
        <v>9.172661870503597E-2</v>
      </c>
      <c r="L183">
        <f>(tblRestock[[#This Row],[listing_count]]-MIN(tblRestock[listing_count]))/(MAX(tblRestock[listing_count])-MIN(tblRestock[listing_count]))</f>
        <v>0</v>
      </c>
      <c r="M183">
        <f>$B$3*tblRestock[[#This Row],[Disc_N]]+$B$4*tblRestock[[#This Row],[Price_N]]+$B$5*tblRestock[[#This Row],[Vis_N]]</f>
        <v>2.7517985611510792E-2</v>
      </c>
      <c r="N183">
        <f t="shared" si="2"/>
        <v>193</v>
      </c>
    </row>
    <row r="184" spans="1:14">
      <c r="A184">
        <v>1762</v>
      </c>
      <c r="B184" t="s">
        <v>1728</v>
      </c>
      <c r="C184" t="s">
        <v>1577</v>
      </c>
      <c r="D184">
        <v>55</v>
      </c>
      <c r="E184">
        <v>55</v>
      </c>
      <c r="F184">
        <v>0</v>
      </c>
      <c r="G184">
        <v>3</v>
      </c>
      <c r="H184">
        <v>3</v>
      </c>
      <c r="I184">
        <v>190</v>
      </c>
      <c r="J184">
        <f>(tblRestock[[#This Row],[discount_percent]]-MIN(tblRestock[discount_percent]))/(MAX(tblRestock[discount_percent])-MIN(tblRestock[discount_percent]))</f>
        <v>0</v>
      </c>
      <c r="K184">
        <f>(tblRestock[[#This Row],[selling_price]]-MIN(tblRestock[selling_price]))/(MAX(tblRestock[selling_price])-MIN(tblRestock[selling_price]))</f>
        <v>8.2733812949640287E-2</v>
      </c>
      <c r="L184">
        <f>(tblRestock[[#This Row],[listing_count]]-MIN(tblRestock[listing_count]))/(MAX(tblRestock[listing_count])-MIN(tblRestock[listing_count]))</f>
        <v>0.4</v>
      </c>
      <c r="M184">
        <f>$B$3*tblRestock[[#This Row],[Disc_N]]+$B$4*tblRestock[[#This Row],[Price_N]]+$B$5*tblRestock[[#This Row],[Vis_N]]</f>
        <v>0.14482014388489209</v>
      </c>
      <c r="N184">
        <f t="shared" si="2"/>
        <v>104</v>
      </c>
    </row>
    <row r="185" spans="1:14">
      <c r="A185">
        <v>579</v>
      </c>
      <c r="B185" t="s">
        <v>1729</v>
      </c>
      <c r="C185" t="s">
        <v>1571</v>
      </c>
      <c r="D185">
        <v>50</v>
      </c>
      <c r="E185">
        <v>50</v>
      </c>
      <c r="F185">
        <v>0</v>
      </c>
      <c r="G185">
        <v>5</v>
      </c>
      <c r="H185">
        <v>5</v>
      </c>
      <c r="I185">
        <v>70</v>
      </c>
      <c r="J185">
        <f>(tblRestock[[#This Row],[discount_percent]]-MIN(tblRestock[discount_percent]))/(MAX(tblRestock[discount_percent])-MIN(tblRestock[discount_percent]))</f>
        <v>0</v>
      </c>
      <c r="K185">
        <f>(tblRestock[[#This Row],[selling_price]]-MIN(tblRestock[selling_price]))/(MAX(tblRestock[selling_price])-MIN(tblRestock[selling_price]))</f>
        <v>7.3741007194244604E-2</v>
      </c>
      <c r="L185">
        <f>(tblRestock[[#This Row],[listing_count]]-MIN(tblRestock[listing_count]))/(MAX(tblRestock[listing_count])-MIN(tblRestock[listing_count]))</f>
        <v>0.8</v>
      </c>
      <c r="M185">
        <f>$B$3*tblRestock[[#This Row],[Disc_N]]+$B$4*tblRestock[[#This Row],[Price_N]]+$B$5*tblRestock[[#This Row],[Vis_N]]</f>
        <v>0.26212230215827337</v>
      </c>
      <c r="N185">
        <f t="shared" si="2"/>
        <v>29</v>
      </c>
    </row>
    <row r="186" spans="1:14">
      <c r="A186">
        <v>2728</v>
      </c>
      <c r="B186" t="s">
        <v>1730</v>
      </c>
      <c r="C186" t="s">
        <v>14</v>
      </c>
      <c r="D186">
        <v>45</v>
      </c>
      <c r="E186">
        <v>45</v>
      </c>
      <c r="F186">
        <v>0</v>
      </c>
      <c r="G186">
        <v>1</v>
      </c>
      <c r="H186">
        <v>1</v>
      </c>
      <c r="I186">
        <v>300</v>
      </c>
      <c r="J186">
        <f>(tblRestock[[#This Row],[discount_percent]]-MIN(tblRestock[discount_percent]))/(MAX(tblRestock[discount_percent])-MIN(tblRestock[discount_percent]))</f>
        <v>0</v>
      </c>
      <c r="K186">
        <f>(tblRestock[[#This Row],[selling_price]]-MIN(tblRestock[selling_price]))/(MAX(tblRestock[selling_price])-MIN(tblRestock[selling_price]))</f>
        <v>6.4748201438848921E-2</v>
      </c>
      <c r="L186">
        <f>(tblRestock[[#This Row],[listing_count]]-MIN(tblRestock[listing_count]))/(MAX(tblRestock[listing_count])-MIN(tblRestock[listing_count]))</f>
        <v>0</v>
      </c>
      <c r="M186">
        <f>$B$3*tblRestock[[#This Row],[Disc_N]]+$B$4*tblRestock[[#This Row],[Price_N]]+$B$5*tblRestock[[#This Row],[Vis_N]]</f>
        <v>1.9424460431654675E-2</v>
      </c>
      <c r="N186">
        <f t="shared" si="2"/>
        <v>195</v>
      </c>
    </row>
    <row r="187" spans="1:14">
      <c r="A187">
        <v>3628</v>
      </c>
      <c r="B187" t="s">
        <v>107</v>
      </c>
      <c r="C187" t="s">
        <v>27</v>
      </c>
      <c r="D187">
        <v>45</v>
      </c>
      <c r="E187">
        <v>45</v>
      </c>
      <c r="F187">
        <v>0</v>
      </c>
      <c r="G187">
        <v>1</v>
      </c>
      <c r="H187">
        <v>1</v>
      </c>
      <c r="I187">
        <v>600</v>
      </c>
      <c r="J187">
        <f>(tblRestock[[#This Row],[discount_percent]]-MIN(tblRestock[discount_percent]))/(MAX(tblRestock[discount_percent])-MIN(tblRestock[discount_percent]))</f>
        <v>0</v>
      </c>
      <c r="K187">
        <f>(tblRestock[[#This Row],[selling_price]]-MIN(tblRestock[selling_price]))/(MAX(tblRestock[selling_price])-MIN(tblRestock[selling_price]))</f>
        <v>6.4748201438848921E-2</v>
      </c>
      <c r="L187">
        <f>(tblRestock[[#This Row],[listing_count]]-MIN(tblRestock[listing_count]))/(MAX(tblRestock[listing_count])-MIN(tblRestock[listing_count]))</f>
        <v>0</v>
      </c>
      <c r="M187">
        <f>$B$3*tblRestock[[#This Row],[Disc_N]]+$B$4*tblRestock[[#This Row],[Price_N]]+$B$5*tblRestock[[#This Row],[Vis_N]]</f>
        <v>1.9424460431654675E-2</v>
      </c>
      <c r="N187">
        <f t="shared" si="2"/>
        <v>196</v>
      </c>
    </row>
    <row r="188" spans="1:14">
      <c r="A188">
        <v>2720</v>
      </c>
      <c r="B188" t="s">
        <v>169</v>
      </c>
      <c r="C188" t="s">
        <v>14</v>
      </c>
      <c r="D188">
        <v>45</v>
      </c>
      <c r="E188">
        <v>45</v>
      </c>
      <c r="F188">
        <v>0</v>
      </c>
      <c r="G188">
        <v>1</v>
      </c>
      <c r="H188">
        <v>1</v>
      </c>
      <c r="I188">
        <v>200</v>
      </c>
      <c r="J188">
        <f>(tblRestock[[#This Row],[discount_percent]]-MIN(tblRestock[discount_percent]))/(MAX(tblRestock[discount_percent])-MIN(tblRestock[discount_percent]))</f>
        <v>0</v>
      </c>
      <c r="K188">
        <f>(tblRestock[[#This Row],[selling_price]]-MIN(tblRestock[selling_price]))/(MAX(tblRestock[selling_price])-MIN(tblRestock[selling_price]))</f>
        <v>6.4748201438848921E-2</v>
      </c>
      <c r="L188">
        <f>(tblRestock[[#This Row],[listing_count]]-MIN(tblRestock[listing_count]))/(MAX(tblRestock[listing_count])-MIN(tblRestock[listing_count]))</f>
        <v>0</v>
      </c>
      <c r="M188">
        <f>$B$3*tblRestock[[#This Row],[Disc_N]]+$B$4*tblRestock[[#This Row],[Price_N]]+$B$5*tblRestock[[#This Row],[Vis_N]]</f>
        <v>1.9424460431654675E-2</v>
      </c>
      <c r="N188">
        <f t="shared" si="2"/>
        <v>194</v>
      </c>
    </row>
    <row r="189" spans="1:14">
      <c r="A189">
        <v>552</v>
      </c>
      <c r="B189" t="s">
        <v>1731</v>
      </c>
      <c r="C189" t="s">
        <v>1571</v>
      </c>
      <c r="D189">
        <v>44</v>
      </c>
      <c r="E189">
        <v>44</v>
      </c>
      <c r="F189">
        <v>0</v>
      </c>
      <c r="G189">
        <v>5</v>
      </c>
      <c r="H189">
        <v>5</v>
      </c>
      <c r="I189">
        <v>280</v>
      </c>
      <c r="J189">
        <f>(tblRestock[[#This Row],[discount_percent]]-MIN(tblRestock[discount_percent]))/(MAX(tblRestock[discount_percent])-MIN(tblRestock[discount_percent]))</f>
        <v>0</v>
      </c>
      <c r="K189">
        <f>(tblRestock[[#This Row],[selling_price]]-MIN(tblRestock[selling_price]))/(MAX(tblRestock[selling_price])-MIN(tblRestock[selling_price]))</f>
        <v>6.2949640287769781E-2</v>
      </c>
      <c r="L189">
        <f>(tblRestock[[#This Row],[listing_count]]-MIN(tblRestock[listing_count]))/(MAX(tblRestock[listing_count])-MIN(tblRestock[listing_count]))</f>
        <v>0.8</v>
      </c>
      <c r="M189">
        <f>$B$3*tblRestock[[#This Row],[Disc_N]]+$B$4*tblRestock[[#This Row],[Price_N]]+$B$5*tblRestock[[#This Row],[Vis_N]]</f>
        <v>0.25888489208633092</v>
      </c>
      <c r="N189">
        <f t="shared" si="2"/>
        <v>30</v>
      </c>
    </row>
    <row r="190" spans="1:14">
      <c r="A190">
        <v>585</v>
      </c>
      <c r="B190" t="s">
        <v>1732</v>
      </c>
      <c r="C190" t="s">
        <v>1575</v>
      </c>
      <c r="D190">
        <v>40</v>
      </c>
      <c r="E190">
        <v>40</v>
      </c>
      <c r="F190">
        <v>0</v>
      </c>
      <c r="G190">
        <v>2</v>
      </c>
      <c r="H190">
        <v>2</v>
      </c>
      <c r="I190">
        <v>500</v>
      </c>
      <c r="J190">
        <f>(tblRestock[[#This Row],[discount_percent]]-MIN(tblRestock[discount_percent]))/(MAX(tblRestock[discount_percent])-MIN(tblRestock[discount_percent]))</f>
        <v>0</v>
      </c>
      <c r="K190">
        <f>(tblRestock[[#This Row],[selling_price]]-MIN(tblRestock[selling_price]))/(MAX(tblRestock[selling_price])-MIN(tblRestock[selling_price]))</f>
        <v>5.5755395683453238E-2</v>
      </c>
      <c r="L190">
        <f>(tblRestock[[#This Row],[listing_count]]-MIN(tblRestock[listing_count]))/(MAX(tblRestock[listing_count])-MIN(tblRestock[listing_count]))</f>
        <v>0.2</v>
      </c>
      <c r="M190">
        <f>$B$3*tblRestock[[#This Row],[Disc_N]]+$B$4*tblRestock[[#This Row],[Price_N]]+$B$5*tblRestock[[#This Row],[Vis_N]]</f>
        <v>7.672661870503597E-2</v>
      </c>
      <c r="N190">
        <f t="shared" si="2"/>
        <v>161</v>
      </c>
    </row>
    <row r="191" spans="1:14">
      <c r="A191">
        <v>1234</v>
      </c>
      <c r="B191" t="s">
        <v>1733</v>
      </c>
      <c r="C191" t="s">
        <v>1569</v>
      </c>
      <c r="D191">
        <v>40</v>
      </c>
      <c r="E191">
        <v>40</v>
      </c>
      <c r="F191">
        <v>0</v>
      </c>
      <c r="G191">
        <v>2</v>
      </c>
      <c r="H191">
        <v>2</v>
      </c>
      <c r="I191">
        <v>200</v>
      </c>
      <c r="J191">
        <f>(tblRestock[[#This Row],[discount_percent]]-MIN(tblRestock[discount_percent]))/(MAX(tblRestock[discount_percent])-MIN(tblRestock[discount_percent]))</f>
        <v>0</v>
      </c>
      <c r="K191">
        <f>(tblRestock[[#This Row],[selling_price]]-MIN(tblRestock[selling_price]))/(MAX(tblRestock[selling_price])-MIN(tblRestock[selling_price]))</f>
        <v>5.5755395683453238E-2</v>
      </c>
      <c r="L191">
        <f>(tblRestock[[#This Row],[listing_count]]-MIN(tblRestock[listing_count]))/(MAX(tblRestock[listing_count])-MIN(tblRestock[listing_count]))</f>
        <v>0.2</v>
      </c>
      <c r="M191">
        <f>$B$3*tblRestock[[#This Row],[Disc_N]]+$B$4*tblRestock[[#This Row],[Price_N]]+$B$5*tblRestock[[#This Row],[Vis_N]]</f>
        <v>7.672661870503597E-2</v>
      </c>
      <c r="N191">
        <f t="shared" si="2"/>
        <v>163</v>
      </c>
    </row>
    <row r="192" spans="1:14">
      <c r="A192">
        <v>2752</v>
      </c>
      <c r="B192" t="s">
        <v>1734</v>
      </c>
      <c r="C192" t="s">
        <v>14</v>
      </c>
      <c r="D192">
        <v>40</v>
      </c>
      <c r="E192">
        <v>40</v>
      </c>
      <c r="F192">
        <v>0</v>
      </c>
      <c r="G192">
        <v>1</v>
      </c>
      <c r="H192">
        <v>1</v>
      </c>
      <c r="I192">
        <v>300</v>
      </c>
      <c r="J192">
        <f>(tblRestock[[#This Row],[discount_percent]]-MIN(tblRestock[discount_percent]))/(MAX(tblRestock[discount_percent])-MIN(tblRestock[discount_percent]))</f>
        <v>0</v>
      </c>
      <c r="K192">
        <f>(tblRestock[[#This Row],[selling_price]]-MIN(tblRestock[selling_price]))/(MAX(tblRestock[selling_price])-MIN(tblRestock[selling_price]))</f>
        <v>5.5755395683453238E-2</v>
      </c>
      <c r="L192">
        <f>(tblRestock[[#This Row],[listing_count]]-MIN(tblRestock[listing_count]))/(MAX(tblRestock[listing_count])-MIN(tblRestock[listing_count]))</f>
        <v>0</v>
      </c>
      <c r="M192">
        <f>$B$3*tblRestock[[#This Row],[Disc_N]]+$B$4*tblRestock[[#This Row],[Price_N]]+$B$5*tblRestock[[#This Row],[Vis_N]]</f>
        <v>1.6726618705035969E-2</v>
      </c>
      <c r="N192">
        <f t="shared" si="2"/>
        <v>197</v>
      </c>
    </row>
    <row r="193" spans="1:14">
      <c r="A193">
        <v>1227</v>
      </c>
      <c r="B193" t="s">
        <v>1735</v>
      </c>
      <c r="C193" t="s">
        <v>1569</v>
      </c>
      <c r="D193">
        <v>40</v>
      </c>
      <c r="E193">
        <v>40</v>
      </c>
      <c r="F193">
        <v>0</v>
      </c>
      <c r="G193">
        <v>2</v>
      </c>
      <c r="H193">
        <v>2</v>
      </c>
      <c r="I193">
        <v>400</v>
      </c>
      <c r="J193">
        <f>(tblRestock[[#This Row],[discount_percent]]-MIN(tblRestock[discount_percent]))/(MAX(tblRestock[discount_percent])-MIN(tblRestock[discount_percent]))</f>
        <v>0</v>
      </c>
      <c r="K193">
        <f>(tblRestock[[#This Row],[selling_price]]-MIN(tblRestock[selling_price]))/(MAX(tblRestock[selling_price])-MIN(tblRestock[selling_price]))</f>
        <v>5.5755395683453238E-2</v>
      </c>
      <c r="L193">
        <f>(tblRestock[[#This Row],[listing_count]]-MIN(tblRestock[listing_count]))/(MAX(tblRestock[listing_count])-MIN(tblRestock[listing_count]))</f>
        <v>0.2</v>
      </c>
      <c r="M193">
        <f>$B$3*tblRestock[[#This Row],[Disc_N]]+$B$4*tblRestock[[#This Row],[Price_N]]+$B$5*tblRestock[[#This Row],[Vis_N]]</f>
        <v>7.672661870503597E-2</v>
      </c>
      <c r="N193">
        <f t="shared" si="2"/>
        <v>162</v>
      </c>
    </row>
    <row r="194" spans="1:14">
      <c r="A194">
        <v>2753</v>
      </c>
      <c r="B194" t="s">
        <v>1583</v>
      </c>
      <c r="C194" t="s">
        <v>14</v>
      </c>
      <c r="D194">
        <v>35</v>
      </c>
      <c r="E194">
        <v>35</v>
      </c>
      <c r="F194">
        <v>0</v>
      </c>
      <c r="G194">
        <v>1</v>
      </c>
      <c r="H194">
        <v>1</v>
      </c>
      <c r="I194">
        <v>150</v>
      </c>
      <c r="J194">
        <f>(tblRestock[[#This Row],[discount_percent]]-MIN(tblRestock[discount_percent]))/(MAX(tblRestock[discount_percent])-MIN(tblRestock[discount_percent]))</f>
        <v>0</v>
      </c>
      <c r="K194">
        <f>(tblRestock[[#This Row],[selling_price]]-MIN(tblRestock[selling_price]))/(MAX(tblRestock[selling_price])-MIN(tblRestock[selling_price]))</f>
        <v>4.6762589928057555E-2</v>
      </c>
      <c r="L194">
        <f>(tblRestock[[#This Row],[listing_count]]-MIN(tblRestock[listing_count]))/(MAX(tblRestock[listing_count])-MIN(tblRestock[listing_count]))</f>
        <v>0</v>
      </c>
      <c r="M194">
        <f>$B$3*tblRestock[[#This Row],[Disc_N]]+$B$4*tblRestock[[#This Row],[Price_N]]+$B$5*tblRestock[[#This Row],[Vis_N]]</f>
        <v>1.4028776978417265E-2</v>
      </c>
      <c r="N194">
        <f t="shared" si="2"/>
        <v>199</v>
      </c>
    </row>
    <row r="195" spans="1:14">
      <c r="A195">
        <v>1233</v>
      </c>
      <c r="B195" t="s">
        <v>1736</v>
      </c>
      <c r="C195" t="s">
        <v>1569</v>
      </c>
      <c r="D195">
        <v>35</v>
      </c>
      <c r="E195">
        <v>35</v>
      </c>
      <c r="F195">
        <v>0</v>
      </c>
      <c r="G195">
        <v>2</v>
      </c>
      <c r="H195">
        <v>2</v>
      </c>
      <c r="I195">
        <v>300</v>
      </c>
      <c r="J195">
        <f>(tblRestock[[#This Row],[discount_percent]]-MIN(tblRestock[discount_percent]))/(MAX(tblRestock[discount_percent])-MIN(tblRestock[discount_percent]))</f>
        <v>0</v>
      </c>
      <c r="K195">
        <f>(tblRestock[[#This Row],[selling_price]]-MIN(tblRestock[selling_price]))/(MAX(tblRestock[selling_price])-MIN(tblRestock[selling_price]))</f>
        <v>4.6762589928057555E-2</v>
      </c>
      <c r="L195">
        <f>(tblRestock[[#This Row],[listing_count]]-MIN(tblRestock[listing_count]))/(MAX(tblRestock[listing_count])-MIN(tblRestock[listing_count]))</f>
        <v>0.2</v>
      </c>
      <c r="M195">
        <f>$B$3*tblRestock[[#This Row],[Disc_N]]+$B$4*tblRestock[[#This Row],[Price_N]]+$B$5*tblRestock[[#This Row],[Vis_N]]</f>
        <v>7.4028776978417268E-2</v>
      </c>
      <c r="N195">
        <f t="shared" si="2"/>
        <v>167</v>
      </c>
    </row>
    <row r="196" spans="1:14">
      <c r="A196">
        <v>2738</v>
      </c>
      <c r="B196" t="s">
        <v>1737</v>
      </c>
      <c r="C196" t="s">
        <v>14</v>
      </c>
      <c r="D196">
        <v>35</v>
      </c>
      <c r="E196">
        <v>35</v>
      </c>
      <c r="F196">
        <v>0</v>
      </c>
      <c r="G196">
        <v>1</v>
      </c>
      <c r="H196">
        <v>1</v>
      </c>
      <c r="I196">
        <v>300</v>
      </c>
      <c r="J196">
        <f>(tblRestock[[#This Row],[discount_percent]]-MIN(tblRestock[discount_percent]))/(MAX(tblRestock[discount_percent])-MIN(tblRestock[discount_percent]))</f>
        <v>0</v>
      </c>
      <c r="K196">
        <f>(tblRestock[[#This Row],[selling_price]]-MIN(tblRestock[selling_price]))/(MAX(tblRestock[selling_price])-MIN(tblRestock[selling_price]))</f>
        <v>4.6762589928057555E-2</v>
      </c>
      <c r="L196">
        <f>(tblRestock[[#This Row],[listing_count]]-MIN(tblRestock[listing_count]))/(MAX(tblRestock[listing_count])-MIN(tblRestock[listing_count]))</f>
        <v>0</v>
      </c>
      <c r="M196">
        <f>$B$3*tblRestock[[#This Row],[Disc_N]]+$B$4*tblRestock[[#This Row],[Price_N]]+$B$5*tblRestock[[#This Row],[Vis_N]]</f>
        <v>1.4028776978417265E-2</v>
      </c>
      <c r="N196">
        <f t="shared" si="2"/>
        <v>198</v>
      </c>
    </row>
    <row r="197" spans="1:14">
      <c r="A197">
        <v>588</v>
      </c>
      <c r="B197" t="s">
        <v>1738</v>
      </c>
      <c r="C197" t="s">
        <v>1575</v>
      </c>
      <c r="D197">
        <v>35</v>
      </c>
      <c r="E197">
        <v>35</v>
      </c>
      <c r="F197">
        <v>0</v>
      </c>
      <c r="G197">
        <v>2</v>
      </c>
      <c r="H197">
        <v>2</v>
      </c>
      <c r="I197">
        <v>100</v>
      </c>
      <c r="J197">
        <f>(tblRestock[[#This Row],[discount_percent]]-MIN(tblRestock[discount_percent]))/(MAX(tblRestock[discount_percent])-MIN(tblRestock[discount_percent]))</f>
        <v>0</v>
      </c>
      <c r="K197">
        <f>(tblRestock[[#This Row],[selling_price]]-MIN(tblRestock[selling_price]))/(MAX(tblRestock[selling_price])-MIN(tblRestock[selling_price]))</f>
        <v>4.6762589928057555E-2</v>
      </c>
      <c r="L197">
        <f>(tblRestock[[#This Row],[listing_count]]-MIN(tblRestock[listing_count]))/(MAX(tblRestock[listing_count])-MIN(tblRestock[listing_count]))</f>
        <v>0.2</v>
      </c>
      <c r="M197">
        <f>$B$3*tblRestock[[#This Row],[Disc_N]]+$B$4*tblRestock[[#This Row],[Price_N]]+$B$5*tblRestock[[#This Row],[Vis_N]]</f>
        <v>7.4028776978417268E-2</v>
      </c>
      <c r="N197">
        <f t="shared" si="2"/>
        <v>166</v>
      </c>
    </row>
    <row r="198" spans="1:14">
      <c r="A198">
        <v>1245</v>
      </c>
      <c r="B198" t="s">
        <v>120</v>
      </c>
      <c r="C198" t="s">
        <v>1569</v>
      </c>
      <c r="D198">
        <v>30</v>
      </c>
      <c r="E198">
        <v>30</v>
      </c>
      <c r="F198">
        <v>0</v>
      </c>
      <c r="G198">
        <v>2</v>
      </c>
      <c r="H198">
        <v>2</v>
      </c>
      <c r="I198">
        <v>200</v>
      </c>
      <c r="J198">
        <f>(tblRestock[[#This Row],[discount_percent]]-MIN(tblRestock[discount_percent]))/(MAX(tblRestock[discount_percent])-MIN(tblRestock[discount_percent]))</f>
        <v>0</v>
      </c>
      <c r="K198">
        <f>(tblRestock[[#This Row],[selling_price]]-MIN(tblRestock[selling_price]))/(MAX(tblRestock[selling_price])-MIN(tblRestock[selling_price]))</f>
        <v>3.7769784172661872E-2</v>
      </c>
      <c r="L198">
        <f>(tblRestock[[#This Row],[listing_count]]-MIN(tblRestock[listing_count]))/(MAX(tblRestock[listing_count])-MIN(tblRestock[listing_count]))</f>
        <v>0.2</v>
      </c>
      <c r="M198">
        <f>$B$3*tblRestock[[#This Row],[Disc_N]]+$B$4*tblRestock[[#This Row],[Price_N]]+$B$5*tblRestock[[#This Row],[Vis_N]]</f>
        <v>7.1330935251798566E-2</v>
      </c>
      <c r="N198">
        <f t="shared" si="2"/>
        <v>172</v>
      </c>
    </row>
    <row r="199" spans="1:14">
      <c r="A199">
        <v>2713</v>
      </c>
      <c r="B199" t="s">
        <v>1739</v>
      </c>
      <c r="C199" t="s">
        <v>14</v>
      </c>
      <c r="D199">
        <v>30</v>
      </c>
      <c r="E199">
        <v>30</v>
      </c>
      <c r="F199">
        <v>0</v>
      </c>
      <c r="G199">
        <v>1</v>
      </c>
      <c r="H199">
        <v>1</v>
      </c>
      <c r="I199">
        <v>250</v>
      </c>
      <c r="J199">
        <f>(tblRestock[[#This Row],[discount_percent]]-MIN(tblRestock[discount_percent]))/(MAX(tblRestock[discount_percent])-MIN(tblRestock[discount_percent]))</f>
        <v>0</v>
      </c>
      <c r="K199">
        <f>(tblRestock[[#This Row],[selling_price]]-MIN(tblRestock[selling_price]))/(MAX(tblRestock[selling_price])-MIN(tblRestock[selling_price]))</f>
        <v>3.7769784172661872E-2</v>
      </c>
      <c r="L199">
        <f>(tblRestock[[#This Row],[listing_count]]-MIN(tblRestock[listing_count]))/(MAX(tblRestock[listing_count])-MIN(tblRestock[listing_count]))</f>
        <v>0</v>
      </c>
      <c r="M199">
        <f>$B$3*tblRestock[[#This Row],[Disc_N]]+$B$4*tblRestock[[#This Row],[Price_N]]+$B$5*tblRestock[[#This Row],[Vis_N]]</f>
        <v>1.1330935251798561E-2</v>
      </c>
      <c r="N199">
        <f t="shared" si="2"/>
        <v>200</v>
      </c>
    </row>
    <row r="200" spans="1:14">
      <c r="A200">
        <v>1236</v>
      </c>
      <c r="B200" t="s">
        <v>1740</v>
      </c>
      <c r="C200" t="s">
        <v>1569</v>
      </c>
      <c r="D200">
        <v>30</v>
      </c>
      <c r="E200">
        <v>30</v>
      </c>
      <c r="F200">
        <v>0</v>
      </c>
      <c r="G200">
        <v>2</v>
      </c>
      <c r="H200">
        <v>2</v>
      </c>
      <c r="I200">
        <v>250</v>
      </c>
      <c r="J200">
        <f>(tblRestock[[#This Row],[discount_percent]]-MIN(tblRestock[discount_percent]))/(MAX(tblRestock[discount_percent])-MIN(tblRestock[discount_percent]))</f>
        <v>0</v>
      </c>
      <c r="K200">
        <f>(tblRestock[[#This Row],[selling_price]]-MIN(tblRestock[selling_price]))/(MAX(tblRestock[selling_price])-MIN(tblRestock[selling_price]))</f>
        <v>3.7769784172661872E-2</v>
      </c>
      <c r="L200">
        <f>(tblRestock[[#This Row],[listing_count]]-MIN(tblRestock[listing_count]))/(MAX(tblRestock[listing_count])-MIN(tblRestock[listing_count]))</f>
        <v>0.2</v>
      </c>
      <c r="M200">
        <f>$B$3*tblRestock[[#This Row],[Disc_N]]+$B$4*tblRestock[[#This Row],[Price_N]]+$B$5*tblRestock[[#This Row],[Vis_N]]</f>
        <v>7.1330935251798566E-2</v>
      </c>
      <c r="N200">
        <f t="shared" si="2"/>
        <v>171</v>
      </c>
    </row>
    <row r="201" spans="1:14">
      <c r="A201">
        <v>1231</v>
      </c>
      <c r="B201" t="s">
        <v>1741</v>
      </c>
      <c r="C201" t="s">
        <v>1569</v>
      </c>
      <c r="D201">
        <v>30</v>
      </c>
      <c r="E201">
        <v>30</v>
      </c>
      <c r="F201">
        <v>0</v>
      </c>
      <c r="G201">
        <v>2</v>
      </c>
      <c r="H201">
        <v>2</v>
      </c>
      <c r="I201">
        <v>150</v>
      </c>
      <c r="J201">
        <f>(tblRestock[[#This Row],[discount_percent]]-MIN(tblRestock[discount_percent]))/(MAX(tblRestock[discount_percent])-MIN(tblRestock[discount_percent]))</f>
        <v>0</v>
      </c>
      <c r="K201">
        <f>(tblRestock[[#This Row],[selling_price]]-MIN(tblRestock[selling_price]))/(MAX(tblRestock[selling_price])-MIN(tblRestock[selling_price]))</f>
        <v>3.7769784172661872E-2</v>
      </c>
      <c r="L201">
        <f>(tblRestock[[#This Row],[listing_count]]-MIN(tblRestock[listing_count]))/(MAX(tblRestock[listing_count])-MIN(tblRestock[listing_count]))</f>
        <v>0.2</v>
      </c>
      <c r="M201">
        <f>$B$3*tblRestock[[#This Row],[Disc_N]]+$B$4*tblRestock[[#This Row],[Price_N]]+$B$5*tblRestock[[#This Row],[Vis_N]]</f>
        <v>7.1330935251798566E-2</v>
      </c>
      <c r="N201">
        <f t="shared" si="2"/>
        <v>170</v>
      </c>
    </row>
    <row r="202" spans="1:14">
      <c r="A202">
        <v>3635</v>
      </c>
      <c r="B202" t="s">
        <v>1361</v>
      </c>
      <c r="C202" t="s">
        <v>1705</v>
      </c>
      <c r="D202">
        <v>30</v>
      </c>
      <c r="E202">
        <v>30</v>
      </c>
      <c r="F202">
        <v>0</v>
      </c>
      <c r="G202">
        <v>2</v>
      </c>
      <c r="H202">
        <v>2</v>
      </c>
      <c r="I202">
        <v>60</v>
      </c>
      <c r="J202">
        <f>(tblRestock[[#This Row],[discount_percent]]-MIN(tblRestock[discount_percent]))/(MAX(tblRestock[discount_percent])-MIN(tblRestock[discount_percent]))</f>
        <v>0</v>
      </c>
      <c r="K202">
        <f>(tblRestock[[#This Row],[selling_price]]-MIN(tblRestock[selling_price]))/(MAX(tblRestock[selling_price])-MIN(tblRestock[selling_price]))</f>
        <v>3.7769784172661872E-2</v>
      </c>
      <c r="L202">
        <f>(tblRestock[[#This Row],[listing_count]]-MIN(tblRestock[listing_count]))/(MAX(tblRestock[listing_count])-MIN(tblRestock[listing_count]))</f>
        <v>0.2</v>
      </c>
      <c r="M202">
        <f>$B$3*tblRestock[[#This Row],[Disc_N]]+$B$4*tblRestock[[#This Row],[Price_N]]+$B$5*tblRestock[[#This Row],[Vis_N]]</f>
        <v>7.1330935251798566E-2</v>
      </c>
      <c r="N202">
        <f t="shared" ref="N202:N226" si="3">_xlfn.RANK.EQ(M202,$M$10:$M$226,0)+COUNTIFS($M$10:$M$226,M202,$A$10:$A$226,"&lt;"&amp;A202)</f>
        <v>173</v>
      </c>
    </row>
    <row r="203" spans="1:14">
      <c r="A203">
        <v>2724</v>
      </c>
      <c r="B203" t="s">
        <v>1742</v>
      </c>
      <c r="C203" t="s">
        <v>14</v>
      </c>
      <c r="D203">
        <v>28</v>
      </c>
      <c r="E203">
        <v>28</v>
      </c>
      <c r="F203">
        <v>0</v>
      </c>
      <c r="G203">
        <v>1</v>
      </c>
      <c r="H203">
        <v>1</v>
      </c>
      <c r="I203">
        <v>200</v>
      </c>
      <c r="J203">
        <f>(tblRestock[[#This Row],[discount_percent]]-MIN(tblRestock[discount_percent]))/(MAX(tblRestock[discount_percent])-MIN(tblRestock[discount_percent]))</f>
        <v>0</v>
      </c>
      <c r="K203">
        <f>(tblRestock[[#This Row],[selling_price]]-MIN(tblRestock[selling_price]))/(MAX(tblRestock[selling_price])-MIN(tblRestock[selling_price]))</f>
        <v>3.41726618705036E-2</v>
      </c>
      <c r="L203">
        <f>(tblRestock[[#This Row],[listing_count]]-MIN(tblRestock[listing_count]))/(MAX(tblRestock[listing_count])-MIN(tblRestock[listing_count]))</f>
        <v>0</v>
      </c>
      <c r="M203">
        <f>$B$3*tblRestock[[#This Row],[Disc_N]]+$B$4*tblRestock[[#This Row],[Price_N]]+$B$5*tblRestock[[#This Row],[Vis_N]]</f>
        <v>1.025179856115108E-2</v>
      </c>
      <c r="N203">
        <f t="shared" si="3"/>
        <v>201</v>
      </c>
    </row>
    <row r="204" spans="1:14">
      <c r="A204">
        <v>2719</v>
      </c>
      <c r="B204" t="s">
        <v>1743</v>
      </c>
      <c r="C204" t="s">
        <v>14</v>
      </c>
      <c r="D204">
        <v>25</v>
      </c>
      <c r="E204">
        <v>25</v>
      </c>
      <c r="F204">
        <v>0</v>
      </c>
      <c r="G204">
        <v>1</v>
      </c>
      <c r="H204">
        <v>1</v>
      </c>
      <c r="I204">
        <v>150</v>
      </c>
      <c r="J204">
        <f>(tblRestock[[#This Row],[discount_percent]]-MIN(tblRestock[discount_percent]))/(MAX(tblRestock[discount_percent])-MIN(tblRestock[discount_percent]))</f>
        <v>0</v>
      </c>
      <c r="K204">
        <f>(tblRestock[[#This Row],[selling_price]]-MIN(tblRestock[selling_price]))/(MAX(tblRestock[selling_price])-MIN(tblRestock[selling_price]))</f>
        <v>2.8776978417266189E-2</v>
      </c>
      <c r="L204">
        <f>(tblRestock[[#This Row],[listing_count]]-MIN(tblRestock[listing_count]))/(MAX(tblRestock[listing_count])-MIN(tblRestock[listing_count]))</f>
        <v>0</v>
      </c>
      <c r="M204">
        <f>$B$3*tblRestock[[#This Row],[Disc_N]]+$B$4*tblRestock[[#This Row],[Price_N]]+$B$5*tblRestock[[#This Row],[Vis_N]]</f>
        <v>8.6330935251798559E-3</v>
      </c>
      <c r="N204">
        <f t="shared" si="3"/>
        <v>204</v>
      </c>
    </row>
    <row r="205" spans="1:14">
      <c r="A205">
        <v>1753</v>
      </c>
      <c r="B205" t="s">
        <v>1744</v>
      </c>
      <c r="C205" t="s">
        <v>1577</v>
      </c>
      <c r="D205">
        <v>25</v>
      </c>
      <c r="E205">
        <v>25</v>
      </c>
      <c r="F205">
        <v>0</v>
      </c>
      <c r="G205">
        <v>3</v>
      </c>
      <c r="H205">
        <v>3</v>
      </c>
      <c r="I205">
        <v>60</v>
      </c>
      <c r="J205">
        <f>(tblRestock[[#This Row],[discount_percent]]-MIN(tblRestock[discount_percent]))/(MAX(tblRestock[discount_percent])-MIN(tblRestock[discount_percent]))</f>
        <v>0</v>
      </c>
      <c r="K205">
        <f>(tblRestock[[#This Row],[selling_price]]-MIN(tblRestock[selling_price]))/(MAX(tblRestock[selling_price])-MIN(tblRestock[selling_price]))</f>
        <v>2.8776978417266189E-2</v>
      </c>
      <c r="L205">
        <f>(tblRestock[[#This Row],[listing_count]]-MIN(tblRestock[listing_count]))/(MAX(tblRestock[listing_count])-MIN(tblRestock[listing_count]))</f>
        <v>0.4</v>
      </c>
      <c r="M205">
        <f>$B$3*tblRestock[[#This Row],[Disc_N]]+$B$4*tblRestock[[#This Row],[Price_N]]+$B$5*tblRestock[[#This Row],[Vis_N]]</f>
        <v>0.12863309352517985</v>
      </c>
      <c r="N205">
        <f t="shared" si="3"/>
        <v>115</v>
      </c>
    </row>
    <row r="206" spans="1:14">
      <c r="A206">
        <v>2716</v>
      </c>
      <c r="B206" t="s">
        <v>1745</v>
      </c>
      <c r="C206" t="s">
        <v>14</v>
      </c>
      <c r="D206">
        <v>25</v>
      </c>
      <c r="E206">
        <v>25</v>
      </c>
      <c r="F206">
        <v>0</v>
      </c>
      <c r="G206">
        <v>1</v>
      </c>
      <c r="H206">
        <v>1</v>
      </c>
      <c r="I206">
        <v>100</v>
      </c>
      <c r="J206">
        <f>(tblRestock[[#This Row],[discount_percent]]-MIN(tblRestock[discount_percent]))/(MAX(tblRestock[discount_percent])-MIN(tblRestock[discount_percent]))</f>
        <v>0</v>
      </c>
      <c r="K206">
        <f>(tblRestock[[#This Row],[selling_price]]-MIN(tblRestock[selling_price]))/(MAX(tblRestock[selling_price])-MIN(tblRestock[selling_price]))</f>
        <v>2.8776978417266189E-2</v>
      </c>
      <c r="L206">
        <f>(tblRestock[[#This Row],[listing_count]]-MIN(tblRestock[listing_count]))/(MAX(tblRestock[listing_count])-MIN(tblRestock[listing_count]))</f>
        <v>0</v>
      </c>
      <c r="M206">
        <f>$B$3*tblRestock[[#This Row],[Disc_N]]+$B$4*tblRestock[[#This Row],[Price_N]]+$B$5*tblRestock[[#This Row],[Vis_N]]</f>
        <v>8.6330935251798559E-3</v>
      </c>
      <c r="N206">
        <f t="shared" si="3"/>
        <v>202</v>
      </c>
    </row>
    <row r="207" spans="1:14">
      <c r="A207">
        <v>2717</v>
      </c>
      <c r="B207" t="s">
        <v>1746</v>
      </c>
      <c r="C207" t="s">
        <v>14</v>
      </c>
      <c r="D207">
        <v>25</v>
      </c>
      <c r="E207">
        <v>25</v>
      </c>
      <c r="F207">
        <v>0</v>
      </c>
      <c r="G207">
        <v>1</v>
      </c>
      <c r="H207">
        <v>1</v>
      </c>
      <c r="I207">
        <v>75</v>
      </c>
      <c r="J207">
        <f>(tblRestock[[#This Row],[discount_percent]]-MIN(tblRestock[discount_percent]))/(MAX(tblRestock[discount_percent])-MIN(tblRestock[discount_percent]))</f>
        <v>0</v>
      </c>
      <c r="K207">
        <f>(tblRestock[[#This Row],[selling_price]]-MIN(tblRestock[selling_price]))/(MAX(tblRestock[selling_price])-MIN(tblRestock[selling_price]))</f>
        <v>2.8776978417266189E-2</v>
      </c>
      <c r="L207">
        <f>(tblRestock[[#This Row],[listing_count]]-MIN(tblRestock[listing_count]))/(MAX(tblRestock[listing_count])-MIN(tblRestock[listing_count]))</f>
        <v>0</v>
      </c>
      <c r="M207">
        <f>$B$3*tblRestock[[#This Row],[Disc_N]]+$B$4*tblRestock[[#This Row],[Price_N]]+$B$5*tblRestock[[#This Row],[Vis_N]]</f>
        <v>8.6330935251798559E-3</v>
      </c>
      <c r="N207">
        <f t="shared" si="3"/>
        <v>203</v>
      </c>
    </row>
    <row r="208" spans="1:14">
      <c r="A208">
        <v>2741</v>
      </c>
      <c r="B208" t="s">
        <v>1747</v>
      </c>
      <c r="C208" t="s">
        <v>14</v>
      </c>
      <c r="D208">
        <v>25</v>
      </c>
      <c r="E208">
        <v>25</v>
      </c>
      <c r="F208">
        <v>0</v>
      </c>
      <c r="G208">
        <v>1</v>
      </c>
      <c r="H208">
        <v>1</v>
      </c>
      <c r="I208">
        <v>100</v>
      </c>
      <c r="J208">
        <f>(tblRestock[[#This Row],[discount_percent]]-MIN(tblRestock[discount_percent]))/(MAX(tblRestock[discount_percent])-MIN(tblRestock[discount_percent]))</f>
        <v>0</v>
      </c>
      <c r="K208">
        <f>(tblRestock[[#This Row],[selling_price]]-MIN(tblRestock[selling_price]))/(MAX(tblRestock[selling_price])-MIN(tblRestock[selling_price]))</f>
        <v>2.8776978417266189E-2</v>
      </c>
      <c r="L208">
        <f>(tblRestock[[#This Row],[listing_count]]-MIN(tblRestock[listing_count]))/(MAX(tblRestock[listing_count])-MIN(tblRestock[listing_count]))</f>
        <v>0</v>
      </c>
      <c r="M208">
        <f>$B$3*tblRestock[[#This Row],[Disc_N]]+$B$4*tblRestock[[#This Row],[Price_N]]+$B$5*tblRestock[[#This Row],[Vis_N]]</f>
        <v>8.6330935251798559E-3</v>
      </c>
      <c r="N208">
        <f t="shared" si="3"/>
        <v>206</v>
      </c>
    </row>
    <row r="209" spans="1:14">
      <c r="A209">
        <v>3631</v>
      </c>
      <c r="B209" t="s">
        <v>1748</v>
      </c>
      <c r="C209" t="s">
        <v>27</v>
      </c>
      <c r="D209">
        <v>25</v>
      </c>
      <c r="E209">
        <v>25</v>
      </c>
      <c r="F209">
        <v>0</v>
      </c>
      <c r="G209">
        <v>1</v>
      </c>
      <c r="H209">
        <v>1</v>
      </c>
      <c r="I209">
        <v>75</v>
      </c>
      <c r="J209">
        <f>(tblRestock[[#This Row],[discount_percent]]-MIN(tblRestock[discount_percent]))/(MAX(tblRestock[discount_percent])-MIN(tblRestock[discount_percent]))</f>
        <v>0</v>
      </c>
      <c r="K209">
        <f>(tblRestock[[#This Row],[selling_price]]-MIN(tblRestock[selling_price]))/(MAX(tblRestock[selling_price])-MIN(tblRestock[selling_price]))</f>
        <v>2.8776978417266189E-2</v>
      </c>
      <c r="L209">
        <f>(tblRestock[[#This Row],[listing_count]]-MIN(tblRestock[listing_count]))/(MAX(tblRestock[listing_count])-MIN(tblRestock[listing_count]))</f>
        <v>0</v>
      </c>
      <c r="M209">
        <f>$B$3*tblRestock[[#This Row],[Disc_N]]+$B$4*tblRestock[[#This Row],[Price_N]]+$B$5*tblRestock[[#This Row],[Vis_N]]</f>
        <v>8.6330935251798559E-3</v>
      </c>
      <c r="N209">
        <f t="shared" si="3"/>
        <v>207</v>
      </c>
    </row>
    <row r="210" spans="1:14">
      <c r="A210">
        <v>2723</v>
      </c>
      <c r="B210" t="s">
        <v>1749</v>
      </c>
      <c r="C210" t="s">
        <v>14</v>
      </c>
      <c r="D210">
        <v>25</v>
      </c>
      <c r="E210">
        <v>25</v>
      </c>
      <c r="F210">
        <v>0</v>
      </c>
      <c r="G210">
        <v>1</v>
      </c>
      <c r="H210">
        <v>1</v>
      </c>
      <c r="I210">
        <v>120</v>
      </c>
      <c r="J210">
        <f>(tblRestock[[#This Row],[discount_percent]]-MIN(tblRestock[discount_percent]))/(MAX(tblRestock[discount_percent])-MIN(tblRestock[discount_percent]))</f>
        <v>0</v>
      </c>
      <c r="K210">
        <f>(tblRestock[[#This Row],[selling_price]]-MIN(tblRestock[selling_price]))/(MAX(tblRestock[selling_price])-MIN(tblRestock[selling_price]))</f>
        <v>2.8776978417266189E-2</v>
      </c>
      <c r="L210">
        <f>(tblRestock[[#This Row],[listing_count]]-MIN(tblRestock[listing_count]))/(MAX(tblRestock[listing_count])-MIN(tblRestock[listing_count]))</f>
        <v>0</v>
      </c>
      <c r="M210">
        <f>$B$3*tblRestock[[#This Row],[Disc_N]]+$B$4*tblRestock[[#This Row],[Price_N]]+$B$5*tblRestock[[#This Row],[Vis_N]]</f>
        <v>8.6330935251798559E-3</v>
      </c>
      <c r="N210">
        <f t="shared" si="3"/>
        <v>205</v>
      </c>
    </row>
    <row r="211" spans="1:14">
      <c r="A211">
        <v>1747</v>
      </c>
      <c r="B211" t="s">
        <v>1750</v>
      </c>
      <c r="C211" t="s">
        <v>1577</v>
      </c>
      <c r="D211">
        <v>24</v>
      </c>
      <c r="E211">
        <v>24</v>
      </c>
      <c r="F211">
        <v>0</v>
      </c>
      <c r="G211">
        <v>3</v>
      </c>
      <c r="H211">
        <v>3</v>
      </c>
      <c r="I211">
        <v>75</v>
      </c>
      <c r="J211">
        <f>(tblRestock[[#This Row],[discount_percent]]-MIN(tblRestock[discount_percent]))/(MAX(tblRestock[discount_percent])-MIN(tblRestock[discount_percent]))</f>
        <v>0</v>
      </c>
      <c r="K211">
        <f>(tblRestock[[#This Row],[selling_price]]-MIN(tblRestock[selling_price]))/(MAX(tblRestock[selling_price])-MIN(tblRestock[selling_price]))</f>
        <v>2.6978417266187049E-2</v>
      </c>
      <c r="L211">
        <f>(tblRestock[[#This Row],[listing_count]]-MIN(tblRestock[listing_count]))/(MAX(tblRestock[listing_count])-MIN(tblRestock[listing_count]))</f>
        <v>0.4</v>
      </c>
      <c r="M211">
        <f>$B$3*tblRestock[[#This Row],[Disc_N]]+$B$4*tblRestock[[#This Row],[Price_N]]+$B$5*tblRestock[[#This Row],[Vis_N]]</f>
        <v>0.12809352517985612</v>
      </c>
      <c r="N211">
        <f t="shared" si="3"/>
        <v>117</v>
      </c>
    </row>
    <row r="212" spans="1:14">
      <c r="A212">
        <v>1724</v>
      </c>
      <c r="B212" t="s">
        <v>1751</v>
      </c>
      <c r="C212" t="s">
        <v>1577</v>
      </c>
      <c r="D212">
        <v>20</v>
      </c>
      <c r="E212">
        <v>20</v>
      </c>
      <c r="F212">
        <v>0</v>
      </c>
      <c r="G212">
        <v>3</v>
      </c>
      <c r="H212">
        <v>3</v>
      </c>
      <c r="I212">
        <v>90</v>
      </c>
      <c r="J212">
        <f>(tblRestock[[#This Row],[discount_percent]]-MIN(tblRestock[discount_percent]))/(MAX(tblRestock[discount_percent])-MIN(tblRestock[discount_percent]))</f>
        <v>0</v>
      </c>
      <c r="K212">
        <f>(tblRestock[[#This Row],[selling_price]]-MIN(tblRestock[selling_price]))/(MAX(tblRestock[selling_price])-MIN(tblRestock[selling_price]))</f>
        <v>1.9784172661870502E-2</v>
      </c>
      <c r="L212">
        <f>(tblRestock[[#This Row],[listing_count]]-MIN(tblRestock[listing_count]))/(MAX(tblRestock[listing_count])-MIN(tblRestock[listing_count]))</f>
        <v>0.4</v>
      </c>
      <c r="M212">
        <f>$B$3*tblRestock[[#This Row],[Disc_N]]+$B$4*tblRestock[[#This Row],[Price_N]]+$B$5*tblRestock[[#This Row],[Vis_N]]</f>
        <v>0.12593525179856113</v>
      </c>
      <c r="N212">
        <f t="shared" si="3"/>
        <v>118</v>
      </c>
    </row>
    <row r="213" spans="1:14">
      <c r="A213">
        <v>2714</v>
      </c>
      <c r="B213" t="s">
        <v>90</v>
      </c>
      <c r="C213" t="s">
        <v>14</v>
      </c>
      <c r="D213">
        <v>20</v>
      </c>
      <c r="E213">
        <v>20</v>
      </c>
      <c r="F213">
        <v>0</v>
      </c>
      <c r="G213">
        <v>1</v>
      </c>
      <c r="H213">
        <v>1</v>
      </c>
      <c r="I213">
        <v>100</v>
      </c>
      <c r="J213">
        <f>(tblRestock[[#This Row],[discount_percent]]-MIN(tblRestock[discount_percent]))/(MAX(tblRestock[discount_percent])-MIN(tblRestock[discount_percent]))</f>
        <v>0</v>
      </c>
      <c r="K213">
        <f>(tblRestock[[#This Row],[selling_price]]-MIN(tblRestock[selling_price]))/(MAX(tblRestock[selling_price])-MIN(tblRestock[selling_price]))</f>
        <v>1.9784172661870502E-2</v>
      </c>
      <c r="L213">
        <f>(tblRestock[[#This Row],[listing_count]]-MIN(tblRestock[listing_count]))/(MAX(tblRestock[listing_count])-MIN(tblRestock[listing_count]))</f>
        <v>0</v>
      </c>
      <c r="M213">
        <f>$B$3*tblRestock[[#This Row],[Disc_N]]+$B$4*tblRestock[[#This Row],[Price_N]]+$B$5*tblRestock[[#This Row],[Vis_N]]</f>
        <v>5.9352517985611503E-3</v>
      </c>
      <c r="N213">
        <f t="shared" si="3"/>
        <v>208</v>
      </c>
    </row>
    <row r="214" spans="1:14">
      <c r="A214">
        <v>580</v>
      </c>
      <c r="B214" t="s">
        <v>1752</v>
      </c>
      <c r="C214" t="s">
        <v>1575</v>
      </c>
      <c r="D214">
        <v>20</v>
      </c>
      <c r="E214">
        <v>20</v>
      </c>
      <c r="F214">
        <v>0</v>
      </c>
      <c r="G214">
        <v>2</v>
      </c>
      <c r="H214">
        <v>2</v>
      </c>
      <c r="I214">
        <v>100</v>
      </c>
      <c r="J214">
        <f>(tblRestock[[#This Row],[discount_percent]]-MIN(tblRestock[discount_percent]))/(MAX(tblRestock[discount_percent])-MIN(tblRestock[discount_percent]))</f>
        <v>0</v>
      </c>
      <c r="K214">
        <f>(tblRestock[[#This Row],[selling_price]]-MIN(tblRestock[selling_price]))/(MAX(tblRestock[selling_price])-MIN(tblRestock[selling_price]))</f>
        <v>1.9784172661870502E-2</v>
      </c>
      <c r="L214">
        <f>(tblRestock[[#This Row],[listing_count]]-MIN(tblRestock[listing_count]))/(MAX(tblRestock[listing_count])-MIN(tblRestock[listing_count]))</f>
        <v>0.2</v>
      </c>
      <c r="M214">
        <f>$B$3*tblRestock[[#This Row],[Disc_N]]+$B$4*tblRestock[[#This Row],[Price_N]]+$B$5*tblRestock[[#This Row],[Vis_N]]</f>
        <v>6.5935251798561148E-2</v>
      </c>
      <c r="N214">
        <f t="shared" si="3"/>
        <v>177</v>
      </c>
    </row>
    <row r="215" spans="1:14">
      <c r="A215">
        <v>1243</v>
      </c>
      <c r="B215" t="s">
        <v>1753</v>
      </c>
      <c r="C215" t="s">
        <v>1569</v>
      </c>
      <c r="D215">
        <v>20</v>
      </c>
      <c r="E215">
        <v>20</v>
      </c>
      <c r="F215">
        <v>0</v>
      </c>
      <c r="G215">
        <v>2</v>
      </c>
      <c r="H215">
        <v>2</v>
      </c>
      <c r="I215">
        <v>100</v>
      </c>
      <c r="J215">
        <f>(tblRestock[[#This Row],[discount_percent]]-MIN(tblRestock[discount_percent]))/(MAX(tblRestock[discount_percent])-MIN(tblRestock[discount_percent]))</f>
        <v>0</v>
      </c>
      <c r="K215">
        <f>(tblRestock[[#This Row],[selling_price]]-MIN(tblRestock[selling_price]))/(MAX(tblRestock[selling_price])-MIN(tblRestock[selling_price]))</f>
        <v>1.9784172661870502E-2</v>
      </c>
      <c r="L215">
        <f>(tblRestock[[#This Row],[listing_count]]-MIN(tblRestock[listing_count]))/(MAX(tblRestock[listing_count])-MIN(tblRestock[listing_count]))</f>
        <v>0.2</v>
      </c>
      <c r="M215">
        <f>$B$3*tblRestock[[#This Row],[Disc_N]]+$B$4*tblRestock[[#This Row],[Price_N]]+$B$5*tblRestock[[#This Row],[Vis_N]]</f>
        <v>6.5935251798561148E-2</v>
      </c>
      <c r="N215">
        <f t="shared" si="3"/>
        <v>178</v>
      </c>
    </row>
    <row r="216" spans="1:14">
      <c r="A216">
        <v>573</v>
      </c>
      <c r="B216" t="s">
        <v>1754</v>
      </c>
      <c r="C216" t="s">
        <v>1571</v>
      </c>
      <c r="D216">
        <v>15</v>
      </c>
      <c r="E216">
        <v>15</v>
      </c>
      <c r="F216">
        <v>0</v>
      </c>
      <c r="G216">
        <v>5</v>
      </c>
      <c r="H216">
        <v>5</v>
      </c>
      <c r="I216">
        <v>38</v>
      </c>
      <c r="J216">
        <f>(tblRestock[[#This Row],[discount_percent]]-MIN(tblRestock[discount_percent]))/(MAX(tblRestock[discount_percent])-MIN(tblRestock[discount_percent]))</f>
        <v>0</v>
      </c>
      <c r="K216">
        <f>(tblRestock[[#This Row],[selling_price]]-MIN(tblRestock[selling_price]))/(MAX(tblRestock[selling_price])-MIN(tblRestock[selling_price]))</f>
        <v>1.0791366906474821E-2</v>
      </c>
      <c r="L216">
        <f>(tblRestock[[#This Row],[listing_count]]-MIN(tblRestock[listing_count]))/(MAX(tblRestock[listing_count])-MIN(tblRestock[listing_count]))</f>
        <v>0.8</v>
      </c>
      <c r="M216">
        <f>$B$3*tblRestock[[#This Row],[Disc_N]]+$B$4*tblRestock[[#This Row],[Price_N]]+$B$5*tblRestock[[#This Row],[Vis_N]]</f>
        <v>0.24323741007194244</v>
      </c>
      <c r="N216">
        <f t="shared" si="3"/>
        <v>35</v>
      </c>
    </row>
    <row r="217" spans="1:14">
      <c r="A217">
        <v>2746</v>
      </c>
      <c r="B217" t="s">
        <v>1755</v>
      </c>
      <c r="C217" t="s">
        <v>14</v>
      </c>
      <c r="D217">
        <v>15</v>
      </c>
      <c r="E217">
        <v>15</v>
      </c>
      <c r="F217">
        <v>0</v>
      </c>
      <c r="G217">
        <v>1</v>
      </c>
      <c r="H217">
        <v>1</v>
      </c>
      <c r="I217">
        <v>45</v>
      </c>
      <c r="J217">
        <f>(tblRestock[[#This Row],[discount_percent]]-MIN(tblRestock[discount_percent]))/(MAX(tblRestock[discount_percent])-MIN(tblRestock[discount_percent]))</f>
        <v>0</v>
      </c>
      <c r="K217">
        <f>(tblRestock[[#This Row],[selling_price]]-MIN(tblRestock[selling_price]))/(MAX(tblRestock[selling_price])-MIN(tblRestock[selling_price]))</f>
        <v>1.0791366906474821E-2</v>
      </c>
      <c r="L217">
        <f>(tblRestock[[#This Row],[listing_count]]-MIN(tblRestock[listing_count]))/(MAX(tblRestock[listing_count])-MIN(tblRestock[listing_count]))</f>
        <v>0</v>
      </c>
      <c r="M217">
        <f>$B$3*tblRestock[[#This Row],[Disc_N]]+$B$4*tblRestock[[#This Row],[Price_N]]+$B$5*tblRestock[[#This Row],[Vis_N]]</f>
        <v>3.237410071942446E-3</v>
      </c>
      <c r="N217">
        <f t="shared" si="3"/>
        <v>211</v>
      </c>
    </row>
    <row r="218" spans="1:14">
      <c r="A218">
        <v>2740</v>
      </c>
      <c r="B218" t="s">
        <v>1756</v>
      </c>
      <c r="C218" t="s">
        <v>14</v>
      </c>
      <c r="D218">
        <v>15</v>
      </c>
      <c r="E218">
        <v>15</v>
      </c>
      <c r="F218">
        <v>0</v>
      </c>
      <c r="G218">
        <v>1</v>
      </c>
      <c r="H218">
        <v>1</v>
      </c>
      <c r="I218">
        <v>45</v>
      </c>
      <c r="J218">
        <f>(tblRestock[[#This Row],[discount_percent]]-MIN(tblRestock[discount_percent]))/(MAX(tblRestock[discount_percent])-MIN(tblRestock[discount_percent]))</f>
        <v>0</v>
      </c>
      <c r="K218">
        <f>(tblRestock[[#This Row],[selling_price]]-MIN(tblRestock[selling_price]))/(MAX(tblRestock[selling_price])-MIN(tblRestock[selling_price]))</f>
        <v>1.0791366906474821E-2</v>
      </c>
      <c r="L218">
        <f>(tblRestock[[#This Row],[listing_count]]-MIN(tblRestock[listing_count]))/(MAX(tblRestock[listing_count])-MIN(tblRestock[listing_count]))</f>
        <v>0</v>
      </c>
      <c r="M218">
        <f>$B$3*tblRestock[[#This Row],[Disc_N]]+$B$4*tblRestock[[#This Row],[Price_N]]+$B$5*tblRestock[[#This Row],[Vis_N]]</f>
        <v>3.237410071942446E-3</v>
      </c>
      <c r="N218">
        <f t="shared" si="3"/>
        <v>210</v>
      </c>
    </row>
    <row r="219" spans="1:14">
      <c r="A219">
        <v>2736</v>
      </c>
      <c r="B219" t="s">
        <v>1757</v>
      </c>
      <c r="C219" t="s">
        <v>14</v>
      </c>
      <c r="D219">
        <v>15</v>
      </c>
      <c r="E219">
        <v>15</v>
      </c>
      <c r="F219">
        <v>0</v>
      </c>
      <c r="G219">
        <v>1</v>
      </c>
      <c r="H219">
        <v>1</v>
      </c>
      <c r="I219">
        <v>45</v>
      </c>
      <c r="J219">
        <f>(tblRestock[[#This Row],[discount_percent]]-MIN(tblRestock[discount_percent]))/(MAX(tblRestock[discount_percent])-MIN(tblRestock[discount_percent]))</f>
        <v>0</v>
      </c>
      <c r="K219">
        <f>(tblRestock[[#This Row],[selling_price]]-MIN(tblRestock[selling_price]))/(MAX(tblRestock[selling_price])-MIN(tblRestock[selling_price]))</f>
        <v>1.0791366906474821E-2</v>
      </c>
      <c r="L219">
        <f>(tblRestock[[#This Row],[listing_count]]-MIN(tblRestock[listing_count]))/(MAX(tblRestock[listing_count])-MIN(tblRestock[listing_count]))</f>
        <v>0</v>
      </c>
      <c r="M219">
        <f>$B$3*tblRestock[[#This Row],[Disc_N]]+$B$4*tblRestock[[#This Row],[Price_N]]+$B$5*tblRestock[[#This Row],[Vis_N]]</f>
        <v>3.237410071942446E-3</v>
      </c>
      <c r="N219">
        <f t="shared" si="3"/>
        <v>209</v>
      </c>
    </row>
    <row r="220" spans="1:14">
      <c r="A220">
        <v>2712</v>
      </c>
      <c r="B220" t="s">
        <v>1758</v>
      </c>
      <c r="C220" t="s">
        <v>14</v>
      </c>
      <c r="D220">
        <v>10</v>
      </c>
      <c r="E220">
        <v>10</v>
      </c>
      <c r="F220">
        <v>0</v>
      </c>
      <c r="G220">
        <v>1</v>
      </c>
      <c r="H220">
        <v>1</v>
      </c>
      <c r="I220">
        <v>75</v>
      </c>
      <c r="J220">
        <f>(tblRestock[[#This Row],[discount_percent]]-MIN(tblRestock[discount_percent]))/(MAX(tblRestock[discount_percent])-MIN(tblRestock[discount_percent]))</f>
        <v>0</v>
      </c>
      <c r="K220">
        <f>(tblRestock[[#This Row],[selling_price]]-MIN(tblRestock[selling_price]))/(MAX(tblRestock[selling_price])-MIN(tblRestock[selling_price]))</f>
        <v>1.7985611510791368E-3</v>
      </c>
      <c r="L220">
        <f>(tblRestock[[#This Row],[listing_count]]-MIN(tblRestock[listing_count]))/(MAX(tblRestock[listing_count])-MIN(tblRestock[listing_count]))</f>
        <v>0</v>
      </c>
      <c r="M220">
        <f>$B$3*tblRestock[[#This Row],[Disc_N]]+$B$4*tblRestock[[#This Row],[Price_N]]+$B$5*tblRestock[[#This Row],[Vis_N]]</f>
        <v>5.3956834532374099E-4</v>
      </c>
      <c r="N220">
        <f t="shared" si="3"/>
        <v>212</v>
      </c>
    </row>
    <row r="221" spans="1:14">
      <c r="A221">
        <v>2734</v>
      </c>
      <c r="B221" t="s">
        <v>1759</v>
      </c>
      <c r="C221" t="s">
        <v>14</v>
      </c>
      <c r="D221">
        <v>10</v>
      </c>
      <c r="E221">
        <v>10</v>
      </c>
      <c r="F221">
        <v>0</v>
      </c>
      <c r="G221">
        <v>1</v>
      </c>
      <c r="H221">
        <v>1</v>
      </c>
      <c r="I221">
        <v>60</v>
      </c>
      <c r="J221">
        <f>(tblRestock[[#This Row],[discount_percent]]-MIN(tblRestock[discount_percent]))/(MAX(tblRestock[discount_percent])-MIN(tblRestock[discount_percent]))</f>
        <v>0</v>
      </c>
      <c r="K221">
        <f>(tblRestock[[#This Row],[selling_price]]-MIN(tblRestock[selling_price]))/(MAX(tblRestock[selling_price])-MIN(tblRestock[selling_price]))</f>
        <v>1.7985611510791368E-3</v>
      </c>
      <c r="L221">
        <f>(tblRestock[[#This Row],[listing_count]]-MIN(tblRestock[listing_count]))/(MAX(tblRestock[listing_count])-MIN(tblRestock[listing_count]))</f>
        <v>0</v>
      </c>
      <c r="M221">
        <f>$B$3*tblRestock[[#This Row],[Disc_N]]+$B$4*tblRestock[[#This Row],[Price_N]]+$B$5*tblRestock[[#This Row],[Vis_N]]</f>
        <v>5.3956834532374099E-4</v>
      </c>
      <c r="N221">
        <f t="shared" si="3"/>
        <v>214</v>
      </c>
    </row>
    <row r="222" spans="1:14">
      <c r="A222">
        <v>2726</v>
      </c>
      <c r="B222" t="s">
        <v>922</v>
      </c>
      <c r="C222" t="s">
        <v>14</v>
      </c>
      <c r="D222">
        <v>10</v>
      </c>
      <c r="E222">
        <v>10</v>
      </c>
      <c r="F222">
        <v>0</v>
      </c>
      <c r="G222">
        <v>1</v>
      </c>
      <c r="H222">
        <v>1</v>
      </c>
      <c r="I222">
        <v>46</v>
      </c>
      <c r="J222">
        <f>(tblRestock[[#This Row],[discount_percent]]-MIN(tblRestock[discount_percent]))/(MAX(tblRestock[discount_percent])-MIN(tblRestock[discount_percent]))</f>
        <v>0</v>
      </c>
      <c r="K222">
        <f>(tblRestock[[#This Row],[selling_price]]-MIN(tblRestock[selling_price]))/(MAX(tblRestock[selling_price])-MIN(tblRestock[selling_price]))</f>
        <v>1.7985611510791368E-3</v>
      </c>
      <c r="L222">
        <f>(tblRestock[[#This Row],[listing_count]]-MIN(tblRestock[listing_count]))/(MAX(tblRestock[listing_count])-MIN(tblRestock[listing_count]))</f>
        <v>0</v>
      </c>
      <c r="M222">
        <f>$B$3*tblRestock[[#This Row],[Disc_N]]+$B$4*tblRestock[[#This Row],[Price_N]]+$B$5*tblRestock[[#This Row],[Vis_N]]</f>
        <v>5.3956834532374099E-4</v>
      </c>
      <c r="N222">
        <f t="shared" si="3"/>
        <v>213</v>
      </c>
    </row>
    <row r="223" spans="1:14">
      <c r="A223">
        <v>2735</v>
      </c>
      <c r="B223" t="s">
        <v>1760</v>
      </c>
      <c r="C223" t="s">
        <v>14</v>
      </c>
      <c r="D223">
        <v>10</v>
      </c>
      <c r="E223">
        <v>10</v>
      </c>
      <c r="F223">
        <v>0</v>
      </c>
      <c r="G223">
        <v>1</v>
      </c>
      <c r="H223">
        <v>1</v>
      </c>
      <c r="I223">
        <v>28</v>
      </c>
      <c r="J223">
        <f>(tblRestock[[#This Row],[discount_percent]]-MIN(tblRestock[discount_percent]))/(MAX(tblRestock[discount_percent])-MIN(tblRestock[discount_percent]))</f>
        <v>0</v>
      </c>
      <c r="K223">
        <f>(tblRestock[[#This Row],[selling_price]]-MIN(tblRestock[selling_price]))/(MAX(tblRestock[selling_price])-MIN(tblRestock[selling_price]))</f>
        <v>1.7985611510791368E-3</v>
      </c>
      <c r="L223">
        <f>(tblRestock[[#This Row],[listing_count]]-MIN(tblRestock[listing_count]))/(MAX(tblRestock[listing_count])-MIN(tblRestock[listing_count]))</f>
        <v>0</v>
      </c>
      <c r="M223">
        <f>$B$3*tblRestock[[#This Row],[Disc_N]]+$B$4*tblRestock[[#This Row],[Price_N]]+$B$5*tblRestock[[#This Row],[Vis_N]]</f>
        <v>5.3956834532374099E-4</v>
      </c>
      <c r="N223">
        <f t="shared" si="3"/>
        <v>215</v>
      </c>
    </row>
    <row r="224" spans="1:14">
      <c r="A224">
        <v>2747</v>
      </c>
      <c r="B224" t="s">
        <v>1761</v>
      </c>
      <c r="C224" t="s">
        <v>14</v>
      </c>
      <c r="D224">
        <v>10</v>
      </c>
      <c r="E224">
        <v>10</v>
      </c>
      <c r="F224">
        <v>0</v>
      </c>
      <c r="G224">
        <v>1</v>
      </c>
      <c r="H224">
        <v>1</v>
      </c>
      <c r="I224">
        <v>28</v>
      </c>
      <c r="J224">
        <f>(tblRestock[[#This Row],[discount_percent]]-MIN(tblRestock[discount_percent]))/(MAX(tblRestock[discount_percent])-MIN(tblRestock[discount_percent]))</f>
        <v>0</v>
      </c>
      <c r="K224">
        <f>(tblRestock[[#This Row],[selling_price]]-MIN(tblRestock[selling_price]))/(MAX(tblRestock[selling_price])-MIN(tblRestock[selling_price]))</f>
        <v>1.7985611510791368E-3</v>
      </c>
      <c r="L224">
        <f>(tblRestock[[#This Row],[listing_count]]-MIN(tblRestock[listing_count]))/(MAX(tblRestock[listing_count])-MIN(tblRestock[listing_count]))</f>
        <v>0</v>
      </c>
      <c r="M224">
        <f>$B$3*tblRestock[[#This Row],[Disc_N]]+$B$4*tblRestock[[#This Row],[Price_N]]+$B$5*tblRestock[[#This Row],[Vis_N]]</f>
        <v>5.3956834532374099E-4</v>
      </c>
      <c r="N224">
        <f t="shared" si="3"/>
        <v>216</v>
      </c>
    </row>
    <row r="225" spans="1:14">
      <c r="A225">
        <v>3622</v>
      </c>
      <c r="B225" t="s">
        <v>1762</v>
      </c>
      <c r="C225" t="s">
        <v>27</v>
      </c>
      <c r="D225">
        <v>10</v>
      </c>
      <c r="E225">
        <v>10</v>
      </c>
      <c r="F225">
        <v>0</v>
      </c>
      <c r="G225">
        <v>1</v>
      </c>
      <c r="H225">
        <v>1</v>
      </c>
      <c r="I225">
        <v>140</v>
      </c>
      <c r="J225">
        <f>(tblRestock[[#This Row],[discount_percent]]-MIN(tblRestock[discount_percent]))/(MAX(tblRestock[discount_percent])-MIN(tblRestock[discount_percent]))</f>
        <v>0</v>
      </c>
      <c r="K225">
        <f>(tblRestock[[#This Row],[selling_price]]-MIN(tblRestock[selling_price]))/(MAX(tblRestock[selling_price])-MIN(tblRestock[selling_price]))</f>
        <v>1.7985611510791368E-3</v>
      </c>
      <c r="L225">
        <f>(tblRestock[[#This Row],[listing_count]]-MIN(tblRestock[listing_count]))/(MAX(tblRestock[listing_count])-MIN(tblRestock[listing_count]))</f>
        <v>0</v>
      </c>
      <c r="M225">
        <f>$B$3*tblRestock[[#This Row],[Disc_N]]+$B$4*tblRestock[[#This Row],[Price_N]]+$B$5*tblRestock[[#This Row],[Vis_N]]</f>
        <v>5.3956834532374099E-4</v>
      </c>
      <c r="N225">
        <f t="shared" si="3"/>
        <v>217</v>
      </c>
    </row>
    <row r="226" spans="1:14">
      <c r="A226">
        <v>568</v>
      </c>
      <c r="B226" t="s">
        <v>1763</v>
      </c>
      <c r="C226" t="s">
        <v>1571</v>
      </c>
      <c r="D226">
        <v>10</v>
      </c>
      <c r="E226">
        <v>10</v>
      </c>
      <c r="F226">
        <v>0</v>
      </c>
      <c r="G226">
        <v>5</v>
      </c>
      <c r="H226">
        <v>5</v>
      </c>
      <c r="I226">
        <v>20</v>
      </c>
      <c r="J226">
        <f>(tblRestock[[#This Row],[discount_percent]]-MIN(tblRestock[discount_percent]))/(MAX(tblRestock[discount_percent])-MIN(tblRestock[discount_percent]))</f>
        <v>0</v>
      </c>
      <c r="K226">
        <f>(tblRestock[[#This Row],[selling_price]]-MIN(tblRestock[selling_price]))/(MAX(tblRestock[selling_price])-MIN(tblRestock[selling_price]))</f>
        <v>1.7985611510791368E-3</v>
      </c>
      <c r="L226">
        <f>(tblRestock[[#This Row],[listing_count]]-MIN(tblRestock[listing_count]))/(MAX(tblRestock[listing_count])-MIN(tblRestock[listing_count]))</f>
        <v>0.8</v>
      </c>
      <c r="M226">
        <f>$B$3*tblRestock[[#This Row],[Disc_N]]+$B$4*tblRestock[[#This Row],[Price_N]]+$B$5*tblRestock[[#This Row],[Vis_N]]</f>
        <v>0.24053956834532372</v>
      </c>
      <c r="N226">
        <f t="shared" si="3"/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E569-783F-44DD-A7B5-03760B2F7C5A}">
  <dimension ref="A1:F21"/>
  <sheetViews>
    <sheetView topLeftCell="B1" workbookViewId="0">
      <selection activeCell="E25" sqref="E25"/>
    </sheetView>
  </sheetViews>
  <sheetFormatPr defaultRowHeight="14.25"/>
  <cols>
    <col min="2" max="2" width="52.19921875" customWidth="1"/>
  </cols>
  <sheetData>
    <row r="1" spans="1:6">
      <c r="A1" t="s">
        <v>1776</v>
      </c>
      <c r="B1" t="s">
        <v>1777</v>
      </c>
      <c r="C1" t="s">
        <v>1778</v>
      </c>
      <c r="D1" t="s">
        <v>1779</v>
      </c>
      <c r="E1" t="s">
        <v>1775</v>
      </c>
      <c r="F1" t="s">
        <v>178</v>
      </c>
    </row>
    <row r="2" spans="1:6">
      <c r="A2">
        <f>ROWS($A$2:A2)</f>
        <v>1</v>
      </c>
      <c r="B2" t="str">
        <f>INDEX(tblRestock[name],MATCH($A2,tblRestock[Rank],0))</f>
        <v>Chef's Basket Durum Wheat Penne Pasta</v>
      </c>
      <c r="C2">
        <f>INDEX(tblRestock[selling_price],MATCH($A2,tblRestock[Rank],0))</f>
        <v>80</v>
      </c>
      <c r="D2">
        <f>INDEX(tblRestock[discount_percent],MATCH($A2,tblRestock[Rank],0))</f>
        <v>50</v>
      </c>
      <c r="E2">
        <f>INDEX(tblRestock[Score],MATCH($A2,tblRestock[Rank],0))</f>
        <v>0.67830935251798563</v>
      </c>
      <c r="F2">
        <f>INDEX(tblRestock[product_id],MATCH($A2,tblRestock[Rank],0))</f>
        <v>594</v>
      </c>
    </row>
    <row r="3" spans="1:6">
      <c r="A3">
        <f>ROWS($A$2:A3)</f>
        <v>2</v>
      </c>
      <c r="B3" t="str">
        <f>INDEX(tblRestock[name],MATCH($A3,tblRestock[Rank],0))</f>
        <v>RRO Mozzarella Block Cheese</v>
      </c>
      <c r="C3">
        <f>INDEX(tblRestock[selling_price],MATCH($A3,tblRestock[Rank],0))</f>
        <v>147</v>
      </c>
      <c r="D3">
        <f>INDEX(tblRestock[discount_percent],MATCH($A3,tblRestock[Rank],0))</f>
        <v>50</v>
      </c>
      <c r="E3">
        <f>INDEX(tblRestock[Score],MATCH($A3,tblRestock[Rank],0))</f>
        <v>0.53446043165467627</v>
      </c>
      <c r="F3">
        <f>INDEX(tblRestock[product_id],MATCH($A3,tblRestock[Rank],0))</f>
        <v>1250</v>
      </c>
    </row>
    <row r="4" spans="1:6">
      <c r="A4">
        <f>ROWS($A$2:A4)</f>
        <v>3</v>
      </c>
      <c r="B4" t="str">
        <f>INDEX(tblRestock[name],MATCH($A4,tblRestock[Rank],0))</f>
        <v>The Whole Truth Peanut Butter - Unsweetened &amp; Crunchy</v>
      </c>
      <c r="C4">
        <f>INDEX(tblRestock[selling_price],MATCH($A4,tblRestock[Rank],0))</f>
        <v>148</v>
      </c>
      <c r="D4">
        <f>INDEX(tblRestock[discount_percent],MATCH($A4,tblRestock[Rank],0))</f>
        <v>20</v>
      </c>
      <c r="E4">
        <f>INDEX(tblRestock[Score],MATCH($A4,tblRestock[Rank],0))</f>
        <v>0.47500000000000003</v>
      </c>
      <c r="F4">
        <f>INDEX(tblRestock[product_id],MATCH($A4,tblRestock[Rank],0))</f>
        <v>1241</v>
      </c>
    </row>
    <row r="5" spans="1:6">
      <c r="A5">
        <f>ROWS($A$2:A5)</f>
        <v>4</v>
      </c>
      <c r="B5" t="str">
        <f>INDEX(tblRestock[name],MATCH($A5,tblRestock[Rank],0))</f>
        <v>Dukes Waffy Chocolate Wafer Rolls</v>
      </c>
      <c r="C5">
        <f>INDEX(tblRestock[selling_price],MATCH($A5,tblRestock[Rank],0))</f>
        <v>75</v>
      </c>
      <c r="D5">
        <f>INDEX(tblRestock[discount_percent],MATCH($A5,tblRestock[Rank],0))</f>
        <v>50</v>
      </c>
      <c r="E5">
        <f>INDEX(tblRestock[Score],MATCH($A5,tblRestock[Rank],0))</f>
        <v>0.43561151079136695</v>
      </c>
      <c r="F5">
        <f>INDEX(tblRestock[product_id],MATCH($A5,tblRestock[Rank],0))</f>
        <v>2722</v>
      </c>
    </row>
    <row r="6" spans="1:6">
      <c r="A6">
        <f>ROWS($A$2:A6)</f>
        <v>5</v>
      </c>
      <c r="B6" t="str">
        <f>INDEX(tblRestock[name],MATCH($A6,tblRestock[Rank],0))</f>
        <v>Sugarlite 50% Less Calories Sugar Pouch</v>
      </c>
      <c r="C6">
        <f>INDEX(tblRestock[selling_price],MATCH($A6,tblRestock[Rank],0))</f>
        <v>59</v>
      </c>
      <c r="D6">
        <f>INDEX(tblRestock[discount_percent],MATCH($A6,tblRestock[Rank],0))</f>
        <v>40</v>
      </c>
      <c r="E6">
        <f>INDEX(tblRestock[Score],MATCH($A6,tblRestock[Rank],0))</f>
        <v>0.40697841726618711</v>
      </c>
      <c r="F6">
        <f>INDEX(tblRestock[product_id],MATCH($A6,tblRestock[Rank],0))</f>
        <v>600</v>
      </c>
    </row>
    <row r="7" spans="1:6">
      <c r="A7">
        <f>ROWS($A$2:A7)</f>
        <v>6</v>
      </c>
      <c r="B7" t="str">
        <f>INDEX(tblRestock[name],MATCH($A7,tblRestock[Rank],0))</f>
        <v>Epigamia Fruit Yogurt Strawberry</v>
      </c>
      <c r="C7">
        <f>INDEX(tblRestock[selling_price],MATCH($A7,tblRestock[Rank],0))</f>
        <v>20</v>
      </c>
      <c r="D7">
        <f>INDEX(tblRestock[discount_percent],MATCH($A7,tblRestock[Rank],0))</f>
        <v>50</v>
      </c>
      <c r="E7">
        <f>INDEX(tblRestock[Score],MATCH($A7,tblRestock[Rank],0))</f>
        <v>0.40593525179856116</v>
      </c>
      <c r="F7">
        <f>INDEX(tblRestock[product_id],MATCH($A7,tblRestock[Rank],0))</f>
        <v>3720</v>
      </c>
    </row>
    <row r="8" spans="1:6">
      <c r="A8">
        <f>ROWS($A$2:A8)</f>
        <v>7</v>
      </c>
      <c r="B8" t="str">
        <f>INDEX(tblRestock[name],MATCH($A8,tblRestock[Rank],0))</f>
        <v>Godrej Yummiez Chicken Breakfast Salami</v>
      </c>
      <c r="C8">
        <f>INDEX(tblRestock[selling_price],MATCH($A8,tblRestock[Rank],0))</f>
        <v>143</v>
      </c>
      <c r="D8">
        <f>INDEX(tblRestock[discount_percent],MATCH($A8,tblRestock[Rank],0))</f>
        <v>4</v>
      </c>
      <c r="E8">
        <f>INDEX(tblRestock[Score],MATCH($A8,tblRestock[Rank],0))</f>
        <v>0.40430215827338128</v>
      </c>
      <c r="F8">
        <f>INDEX(tblRestock[product_id],MATCH($A8,tblRestock[Rank],0))</f>
        <v>606</v>
      </c>
    </row>
    <row r="9" spans="1:6">
      <c r="A9">
        <f>ROWS($A$2:A9)</f>
        <v>8</v>
      </c>
      <c r="B9" t="str">
        <f>INDEX(tblRestock[name],MATCH($A9,tblRestock[Rank],0))</f>
        <v>Zorabian Chicken Kheema Parathas</v>
      </c>
      <c r="C9">
        <f>INDEX(tblRestock[selling_price],MATCH($A9,tblRestock[Rank],0))</f>
        <v>190</v>
      </c>
      <c r="D9">
        <f>INDEX(tblRestock[discount_percent],MATCH($A9,tblRestock[Rank],0))</f>
        <v>0</v>
      </c>
      <c r="E9">
        <f>INDEX(tblRestock[Score],MATCH($A9,tblRestock[Rank],0))</f>
        <v>0.39766187050359708</v>
      </c>
      <c r="F9">
        <f>INDEX(tblRestock[product_id],MATCH($A9,tblRestock[Rank],0))</f>
        <v>598</v>
      </c>
    </row>
    <row r="10" spans="1:6">
      <c r="A10">
        <f>ROWS($A$2:A10)</f>
        <v>9</v>
      </c>
      <c r="B10" t="str">
        <f>INDEX(tblRestock[name],MATCH($A10,tblRestock[Rank],0))</f>
        <v>Sunfeast Pasta Treat Pack of Tomato Cheese</v>
      </c>
      <c r="C10">
        <f>INDEX(tblRestock[selling_price],MATCH($A10,tblRestock[Rank],0))</f>
        <v>23</v>
      </c>
      <c r="D10">
        <f>INDEX(tblRestock[discount_percent],MATCH($A10,tblRestock[Rank],0))</f>
        <v>17</v>
      </c>
      <c r="E10">
        <f>INDEX(tblRestock[Score],MATCH($A10,tblRestock[Rank],0))</f>
        <v>0.38355395683453236</v>
      </c>
      <c r="F10">
        <f>INDEX(tblRestock[product_id],MATCH($A10,tblRestock[Rank],0))</f>
        <v>599</v>
      </c>
    </row>
    <row r="11" spans="1:6">
      <c r="A11">
        <f>ROWS($A$2:A11)</f>
        <v>10</v>
      </c>
      <c r="B11" t="str">
        <f>INDEX(tblRestock[name],MATCH($A11,tblRestock[Rank],0))</f>
        <v>Patanjali Cow's Ghee</v>
      </c>
      <c r="C11">
        <f>INDEX(tblRestock[selling_price],MATCH($A11,tblRestock[Rank],0))</f>
        <v>565</v>
      </c>
      <c r="D11">
        <f>INDEX(tblRestock[discount_percent],MATCH($A11,tblRestock[Rank],0))</f>
        <v>0</v>
      </c>
      <c r="E11">
        <f>INDEX(tblRestock[Score],MATCH($A11,tblRestock[Rank],0))</f>
        <v>0.36</v>
      </c>
      <c r="F11">
        <f>INDEX(tblRestock[product_id],MATCH($A11,tblRestock[Rank],0))</f>
        <v>581</v>
      </c>
    </row>
    <row r="12" spans="1:6">
      <c r="A12">
        <f>ROWS($A$2:A12)</f>
        <v>11</v>
      </c>
      <c r="B12" t="str">
        <f>INDEX(tblRestock[name],MATCH($A12,tblRestock[Rank],0))</f>
        <v>Top Ramen Masala</v>
      </c>
      <c r="C12">
        <f>INDEX(tblRestock[selling_price],MATCH($A12,tblRestock[Rank],0))</f>
        <v>82</v>
      </c>
      <c r="D12">
        <f>INDEX(tblRestock[discount_percent],MATCH($A12,tblRestock[Rank],0))</f>
        <v>9</v>
      </c>
      <c r="E12">
        <f>INDEX(tblRestock[Score],MATCH($A12,tblRestock[Rank],0))</f>
        <v>0.35138848920863308</v>
      </c>
      <c r="F12">
        <f>INDEX(tblRestock[product_id],MATCH($A12,tblRestock[Rank],0))</f>
        <v>590</v>
      </c>
    </row>
    <row r="13" spans="1:6">
      <c r="A13">
        <f>ROWS($A$2:A13)</f>
        <v>12</v>
      </c>
      <c r="B13" t="str">
        <f>INDEX(tblRestock[name],MATCH($A13,tblRestock[Rank],0))</f>
        <v>Hershey's Cocoa + Almond Spread</v>
      </c>
      <c r="C13">
        <f>INDEX(tblRestock[selling_price],MATCH($A13,tblRestock[Rank],0))</f>
        <v>266</v>
      </c>
      <c r="D13">
        <f>INDEX(tblRestock[discount_percent],MATCH($A13,tblRestock[Rank],0))</f>
        <v>9</v>
      </c>
      <c r="E13">
        <f>INDEX(tblRestock[Score],MATCH($A13,tblRestock[Rank],0))</f>
        <v>0.3306690647482014</v>
      </c>
      <c r="F13">
        <f>INDEX(tblRestock[product_id],MATCH($A13,tblRestock[Rank],0))</f>
        <v>1760</v>
      </c>
    </row>
    <row r="14" spans="1:6">
      <c r="A14">
        <f>ROWS($A$2:A14)</f>
        <v>13</v>
      </c>
      <c r="B14" t="str">
        <f>INDEX(tblRestock[name],MATCH($A14,tblRestock[Rank],0))</f>
        <v>Mother's Recipe Ginger And Garlic Paste</v>
      </c>
      <c r="C14">
        <f>INDEX(tblRestock[selling_price],MATCH($A14,tblRestock[Rank],0))</f>
        <v>38</v>
      </c>
      <c r="D14">
        <f>INDEX(tblRestock[discount_percent],MATCH($A14,tblRestock[Rank],0))</f>
        <v>24</v>
      </c>
      <c r="E14">
        <f>INDEX(tblRestock[Score],MATCH($A14,tblRestock[Rank],0))</f>
        <v>0.32764748201438848</v>
      </c>
      <c r="F14">
        <f>INDEX(tblRestock[product_id],MATCH($A14,tblRestock[Rank],0))</f>
        <v>1729</v>
      </c>
    </row>
    <row r="15" spans="1:6">
      <c r="A15">
        <f>ROWS($A$2:A15)</f>
        <v>14</v>
      </c>
      <c r="B15" t="str">
        <f>INDEX(tblRestock[name],MATCH($A15,tblRestock[Rank],0))</f>
        <v>Kelloggs Corn Flakes With Real Strawberry Pure</v>
      </c>
      <c r="C15">
        <f>INDEX(tblRestock[selling_price],MATCH($A15,tblRestock[Rank],0))</f>
        <v>236</v>
      </c>
      <c r="D15">
        <f>INDEX(tblRestock[discount_percent],MATCH($A15,tblRestock[Rank],0))</f>
        <v>10</v>
      </c>
      <c r="E15">
        <f>INDEX(tblRestock[Score],MATCH($A15,tblRestock[Rank],0))</f>
        <v>0.32248201438848922</v>
      </c>
      <c r="F15">
        <f>INDEX(tblRestock[product_id],MATCH($A15,tblRestock[Rank],0))</f>
        <v>1745</v>
      </c>
    </row>
    <row r="16" spans="1:6">
      <c r="A16">
        <f>ROWS($A$2:A16)</f>
        <v>15</v>
      </c>
      <c r="B16" t="str">
        <f>INDEX(tblRestock[name],MATCH($A16,tblRestock[Rank],0))</f>
        <v>MamyPoko Pants Standard Diapers, Extra Large (12 - 17 kg)</v>
      </c>
      <c r="C16">
        <f>INDEX(tblRestock[selling_price],MATCH($A16,tblRestock[Rank],0))</f>
        <v>369</v>
      </c>
      <c r="D16">
        <f>INDEX(tblRestock[discount_percent],MATCH($A16,tblRestock[Rank],0))</f>
        <v>7</v>
      </c>
      <c r="E16">
        <f>INDEX(tblRestock[Score],MATCH($A16,tblRestock[Rank],0))</f>
        <v>0.31024460431654677</v>
      </c>
      <c r="F16">
        <f>INDEX(tblRestock[product_id],MATCH($A16,tblRestock[Rank],0))</f>
        <v>3097</v>
      </c>
    </row>
    <row r="17" spans="1:6">
      <c r="A17">
        <f>ROWS($A$2:A17)</f>
        <v>16</v>
      </c>
      <c r="B17" t="str">
        <f>INDEX(tblRestock[name],MATCH($A17,tblRestock[Rank],0))</f>
        <v>Sunfeast Yippee! Magic Masala Noodles</v>
      </c>
      <c r="C17">
        <f>INDEX(tblRestock[selling_price],MATCH($A17,tblRestock[Rank],0))</f>
        <v>45</v>
      </c>
      <c r="D17">
        <f>INDEX(tblRestock[discount_percent],MATCH($A17,tblRestock[Rank],0))</f>
        <v>6</v>
      </c>
      <c r="E17">
        <f>INDEX(tblRestock[Score],MATCH($A17,tblRestock[Rank],0))</f>
        <v>0.30742446043165467</v>
      </c>
      <c r="F17">
        <f>INDEX(tblRestock[product_id],MATCH($A17,tblRestock[Rank],0))</f>
        <v>587</v>
      </c>
    </row>
    <row r="18" spans="1:6">
      <c r="A18">
        <f>ROWS($A$2:A18)</f>
        <v>17</v>
      </c>
      <c r="B18" t="str">
        <f>INDEX(tblRestock[name],MATCH($A18,tblRestock[Rank],0))</f>
        <v>Amul Cheese Spread Spicy Garlic</v>
      </c>
      <c r="C18">
        <f>INDEX(tblRestock[selling_price],MATCH($A18,tblRestock[Rank],0))</f>
        <v>82</v>
      </c>
      <c r="D18">
        <f>INDEX(tblRestock[discount_percent],MATCH($A18,tblRestock[Rank],0))</f>
        <v>3</v>
      </c>
      <c r="E18">
        <f>INDEX(tblRestock[Score],MATCH($A18,tblRestock[Rank],0))</f>
        <v>0.30338848920863309</v>
      </c>
      <c r="F18">
        <f>INDEX(tblRestock[product_id],MATCH($A18,tblRestock[Rank],0))</f>
        <v>1242</v>
      </c>
    </row>
    <row r="19" spans="1:6">
      <c r="A19">
        <f>ROWS($A$2:A19)</f>
        <v>18</v>
      </c>
      <c r="B19" t="str">
        <f>INDEX(tblRestock[name],MATCH($A19,tblRestock[Rank],0))</f>
        <v>Safal Frozen - Sweet Corn</v>
      </c>
      <c r="C19">
        <f>INDEX(tblRestock[selling_price],MATCH($A19,tblRestock[Rank],0))</f>
        <v>152</v>
      </c>
      <c r="D19">
        <f>INDEX(tblRestock[discount_percent],MATCH($A19,tblRestock[Rank],0))</f>
        <v>5</v>
      </c>
      <c r="E19">
        <f>INDEX(tblRestock[Score],MATCH($A19,tblRestock[Rank],0))</f>
        <v>0.29715827338129497</v>
      </c>
      <c r="F19">
        <f>INDEX(tblRestock[product_id],MATCH($A19,tblRestock[Rank],0))</f>
        <v>93</v>
      </c>
    </row>
    <row r="20" spans="1:6">
      <c r="A20">
        <f>ROWS($A$2:A20)</f>
        <v>19</v>
      </c>
      <c r="B20" t="str">
        <f>INDEX(tblRestock[name],MATCH($A20,tblRestock[Rank],0))</f>
        <v>Gillette Venus Close &amp; Clean Razor</v>
      </c>
      <c r="C20">
        <f>INDEX(tblRestock[selling_price],MATCH($A20,tblRestock[Rank],0))</f>
        <v>230</v>
      </c>
      <c r="D20">
        <f>INDEX(tblRestock[discount_percent],MATCH($A20,tblRestock[Rank],0))</f>
        <v>7</v>
      </c>
      <c r="E20">
        <f>INDEX(tblRestock[Score],MATCH($A20,tblRestock[Rank],0))</f>
        <v>0.29524460431654675</v>
      </c>
      <c r="F20">
        <f>INDEX(tblRestock[product_id],MATCH($A20,tblRestock[Rank],0))</f>
        <v>3088</v>
      </c>
    </row>
    <row r="21" spans="1:6">
      <c r="A21">
        <f>ROWS($A$2:A21)</f>
        <v>20</v>
      </c>
      <c r="B21" t="str">
        <f>INDEX(tblRestock[name],MATCH($A21,tblRestock[Rank],0))</f>
        <v>Ching's Secret Veg Hakka Noodles</v>
      </c>
      <c r="C21">
        <f>INDEX(tblRestock[selling_price],MATCH($A21,tblRestock[Rank],0))</f>
        <v>107</v>
      </c>
      <c r="D21">
        <f>INDEX(tblRestock[discount_percent],MATCH($A21,tblRestock[Rank],0))</f>
        <v>0</v>
      </c>
      <c r="E21">
        <f>INDEX(tblRestock[Score],MATCH($A21,tblRestock[Rank],0))</f>
        <v>0.29287769784172663</v>
      </c>
      <c r="F21">
        <f>INDEX(tblRestock[product_id],MATCH($A21,tblRestock[Rank],0))</f>
        <v>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BF36-FEF1-41AF-9B95-2DCDC2787A28}">
  <dimension ref="A1:G11"/>
  <sheetViews>
    <sheetView workbookViewId="0">
      <selection activeCell="G2" sqref="G2:G11"/>
    </sheetView>
  </sheetViews>
  <sheetFormatPr defaultRowHeight="14.25"/>
  <cols>
    <col min="3" max="4" width="18.46484375" customWidth="1"/>
    <col min="5" max="5" width="18.33203125" customWidth="1"/>
    <col min="6" max="6" width="14" customWidth="1"/>
    <col min="7" max="7" width="45.33203125" customWidth="1"/>
  </cols>
  <sheetData>
    <row r="1" spans="1:7">
      <c r="A1" t="s">
        <v>1776</v>
      </c>
      <c r="B1" t="s">
        <v>1788</v>
      </c>
      <c r="C1" t="s">
        <v>1789</v>
      </c>
      <c r="D1" t="s">
        <v>1790</v>
      </c>
      <c r="E1" t="s">
        <v>1791</v>
      </c>
      <c r="F1" t="s">
        <v>1792</v>
      </c>
      <c r="G1" t="s">
        <v>1777</v>
      </c>
    </row>
    <row r="2" spans="1:7">
      <c r="A2">
        <v>1</v>
      </c>
      <c r="B2">
        <v>594</v>
      </c>
      <c r="C2">
        <v>594</v>
      </c>
      <c r="D2">
        <v>581</v>
      </c>
      <c r="E2">
        <v>598</v>
      </c>
      <c r="F2">
        <f>COUNTIF($B$2:$E$11,B2)</f>
        <v>3</v>
      </c>
      <c r="G2" t="str">
        <f>INDEX(tblRestock[name],MATCH(B2,tblRestock[product_id],0))</f>
        <v>Chef's Basket Durum Wheat Penne Pasta</v>
      </c>
    </row>
    <row r="3" spans="1:7">
      <c r="A3">
        <v>2</v>
      </c>
      <c r="B3">
        <v>1250</v>
      </c>
      <c r="C3">
        <v>1250</v>
      </c>
      <c r="D3">
        <v>3097</v>
      </c>
      <c r="E3">
        <v>606</v>
      </c>
      <c r="F3">
        <f t="shared" ref="F3:F11" si="0">COUNTIF($B$2:$E$11,B3)</f>
        <v>2</v>
      </c>
      <c r="G3" t="str">
        <f>INDEX(tblRestock[name],MATCH(B3,tblRestock[product_id],0))</f>
        <v>RRO Mozzarella Block Cheese</v>
      </c>
    </row>
    <row r="4" spans="1:7">
      <c r="A4">
        <v>3</v>
      </c>
      <c r="B4">
        <v>1241</v>
      </c>
      <c r="C4">
        <v>2722</v>
      </c>
      <c r="D4">
        <v>1760</v>
      </c>
      <c r="E4">
        <v>594</v>
      </c>
      <c r="F4">
        <f t="shared" si="0"/>
        <v>3</v>
      </c>
      <c r="G4" t="str">
        <f>INDEX(tblRestock[name],MATCH(B4,tblRestock[product_id],0))</f>
        <v>The Whole Truth Peanut Butter - Unsweetened &amp; Crunchy</v>
      </c>
    </row>
    <row r="5" spans="1:7">
      <c r="A5">
        <v>4</v>
      </c>
      <c r="B5">
        <v>2722</v>
      </c>
      <c r="C5">
        <v>3720</v>
      </c>
      <c r="D5">
        <v>554</v>
      </c>
      <c r="E5">
        <v>1241</v>
      </c>
      <c r="F5">
        <f t="shared" si="0"/>
        <v>2</v>
      </c>
      <c r="G5" t="str">
        <f>INDEX(tblRestock[name],MATCH(B5,tblRestock[product_id],0))</f>
        <v>Dukes Waffy Chocolate Wafer Rolls</v>
      </c>
    </row>
    <row r="6" spans="1:7">
      <c r="A6">
        <v>5</v>
      </c>
      <c r="B6">
        <v>600</v>
      </c>
      <c r="C6">
        <v>600</v>
      </c>
      <c r="D6">
        <v>574</v>
      </c>
      <c r="E6">
        <v>599</v>
      </c>
      <c r="F6">
        <f t="shared" si="0"/>
        <v>2</v>
      </c>
      <c r="G6" t="str">
        <f>INDEX(tblRestock[name],MATCH(B6,tblRestock[product_id],0))</f>
        <v>Sugarlite 50% Less Calories Sugar Pouch</v>
      </c>
    </row>
    <row r="7" spans="1:7">
      <c r="A7">
        <v>6</v>
      </c>
      <c r="B7">
        <v>3720</v>
      </c>
      <c r="C7">
        <v>1241</v>
      </c>
      <c r="D7">
        <v>546</v>
      </c>
      <c r="E7">
        <v>590</v>
      </c>
      <c r="F7">
        <f t="shared" si="0"/>
        <v>2</v>
      </c>
      <c r="G7" t="str">
        <f>INDEX(tblRestock[name],MATCH(B7,tblRestock[product_id],0))</f>
        <v>Epigamia Fruit Yogurt Strawberry</v>
      </c>
    </row>
    <row r="8" spans="1:7">
      <c r="A8">
        <v>7</v>
      </c>
      <c r="B8">
        <v>606</v>
      </c>
      <c r="C8">
        <v>1729</v>
      </c>
      <c r="D8">
        <v>598</v>
      </c>
      <c r="E8">
        <v>1242</v>
      </c>
      <c r="F8">
        <f t="shared" si="0"/>
        <v>2</v>
      </c>
      <c r="G8" t="str">
        <f>INDEX(tblRestock[name],MATCH(B8,tblRestock[product_id],0))</f>
        <v>Godrej Yummiez Chicken Breakfast Salami</v>
      </c>
    </row>
    <row r="9" spans="1:7">
      <c r="A9">
        <v>8</v>
      </c>
      <c r="B9">
        <v>598</v>
      </c>
      <c r="C9">
        <v>2745</v>
      </c>
      <c r="D9">
        <v>1745</v>
      </c>
      <c r="E9">
        <v>587</v>
      </c>
      <c r="F9">
        <f t="shared" si="0"/>
        <v>3</v>
      </c>
      <c r="G9" t="str">
        <f>INDEX(tblRestock[name],MATCH(B9,tblRestock[product_id],0))</f>
        <v>Zorabian Chicken Kheema Parathas</v>
      </c>
    </row>
    <row r="10" spans="1:7">
      <c r="A10">
        <v>9</v>
      </c>
      <c r="B10">
        <v>599</v>
      </c>
      <c r="C10">
        <v>599</v>
      </c>
      <c r="D10">
        <v>1764</v>
      </c>
      <c r="E10">
        <v>572</v>
      </c>
      <c r="F10">
        <f t="shared" si="0"/>
        <v>3</v>
      </c>
      <c r="G10" t="str">
        <f>INDEX(tblRestock[name],MATCH(B10,tblRestock[product_id],0))</f>
        <v>Sunfeast Pasta Treat Pack of Tomato Cheese</v>
      </c>
    </row>
    <row r="11" spans="1:7">
      <c r="A11">
        <v>10</v>
      </c>
      <c r="B11">
        <v>581</v>
      </c>
      <c r="C11">
        <v>2749</v>
      </c>
      <c r="D11">
        <v>1767</v>
      </c>
      <c r="E11">
        <v>1235</v>
      </c>
      <c r="F11">
        <f t="shared" si="0"/>
        <v>2</v>
      </c>
      <c r="G11" t="str">
        <f>INDEX(tblRestock[name],MATCH(B11,tblRestock[product_id],0))</f>
        <v>Patanjali Cow's Ghee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82DC-48A2-446C-9F42-F23E339850AC}">
  <dimension ref="A1:G102"/>
  <sheetViews>
    <sheetView topLeftCell="A2" workbookViewId="0">
      <selection activeCell="A20" sqref="A20"/>
    </sheetView>
  </sheetViews>
  <sheetFormatPr defaultRowHeight="14.25"/>
  <cols>
    <col min="1" max="1" width="74.6640625" bestFit="1" customWidth="1"/>
    <col min="2" max="2" width="14.46484375" bestFit="1" customWidth="1"/>
    <col min="3" max="3" width="12.265625" bestFit="1" customWidth="1"/>
    <col min="4" max="4" width="19.59765625" bestFit="1" customWidth="1"/>
    <col min="5" max="5" width="15.19921875" bestFit="1" customWidth="1"/>
    <col min="6" max="6" width="12" bestFit="1" customWidth="1"/>
    <col min="7" max="7" width="19.3984375" bestFit="1" customWidth="1"/>
  </cols>
  <sheetData>
    <row r="1" spans="1:7">
      <c r="A1" t="s">
        <v>48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>
      <c r="A2" t="s">
        <v>87</v>
      </c>
      <c r="B2">
        <v>500</v>
      </c>
      <c r="C2">
        <v>600</v>
      </c>
      <c r="D2">
        <v>16.8</v>
      </c>
      <c r="E2">
        <v>24.83</v>
      </c>
      <c r="F2">
        <v>47.8</v>
      </c>
      <c r="G2" t="s">
        <v>88</v>
      </c>
    </row>
    <row r="3" spans="1:7">
      <c r="A3" t="s">
        <v>89</v>
      </c>
      <c r="B3">
        <v>340</v>
      </c>
      <c r="C3">
        <v>650</v>
      </c>
      <c r="D3">
        <v>70.59</v>
      </c>
      <c r="E3">
        <v>94.15</v>
      </c>
      <c r="F3">
        <v>33.4</v>
      </c>
      <c r="G3" t="s">
        <v>88</v>
      </c>
    </row>
    <row r="4" spans="1:7">
      <c r="A4" t="s">
        <v>90</v>
      </c>
      <c r="B4">
        <v>60</v>
      </c>
      <c r="C4">
        <v>100</v>
      </c>
      <c r="D4">
        <v>16.670000000000002</v>
      </c>
      <c r="E4">
        <v>20</v>
      </c>
      <c r="F4">
        <v>20</v>
      </c>
      <c r="G4" t="s">
        <v>88</v>
      </c>
    </row>
    <row r="5" spans="1:7">
      <c r="A5" t="s">
        <v>91</v>
      </c>
      <c r="B5">
        <v>2000</v>
      </c>
      <c r="C5">
        <v>5000</v>
      </c>
      <c r="D5">
        <v>4.7</v>
      </c>
      <c r="E5">
        <v>5.5</v>
      </c>
      <c r="F5">
        <v>17</v>
      </c>
      <c r="G5" t="s">
        <v>88</v>
      </c>
    </row>
    <row r="6" spans="1:7">
      <c r="A6" t="s">
        <v>92</v>
      </c>
      <c r="B6">
        <v>340</v>
      </c>
      <c r="C6">
        <v>650</v>
      </c>
      <c r="D6">
        <v>68.819999999999993</v>
      </c>
      <c r="E6">
        <v>80.150000000000006</v>
      </c>
      <c r="F6">
        <v>16.5</v>
      </c>
      <c r="G6" t="s">
        <v>88</v>
      </c>
    </row>
    <row r="7" spans="1:7">
      <c r="A7" t="s">
        <v>93</v>
      </c>
      <c r="B7">
        <v>180</v>
      </c>
      <c r="C7">
        <v>340</v>
      </c>
      <c r="D7">
        <v>66.67</v>
      </c>
      <c r="E7">
        <v>77.650000000000006</v>
      </c>
      <c r="F7">
        <v>16.5</v>
      </c>
      <c r="G7" t="s">
        <v>88</v>
      </c>
    </row>
    <row r="8" spans="1:7">
      <c r="A8" t="s">
        <v>94</v>
      </c>
      <c r="B8">
        <v>1200</v>
      </c>
      <c r="C8">
        <v>3000</v>
      </c>
      <c r="D8">
        <v>19.329999999999998</v>
      </c>
      <c r="E8">
        <v>21.6</v>
      </c>
      <c r="F8">
        <v>11.7</v>
      </c>
      <c r="G8" t="s">
        <v>88</v>
      </c>
    </row>
    <row r="9" spans="1:7">
      <c r="A9" t="s">
        <v>95</v>
      </c>
      <c r="B9">
        <v>75</v>
      </c>
      <c r="C9">
        <v>125</v>
      </c>
      <c r="D9">
        <v>45.33</v>
      </c>
      <c r="E9">
        <v>50.4</v>
      </c>
      <c r="F9">
        <v>11.2</v>
      </c>
      <c r="G9" t="s">
        <v>88</v>
      </c>
    </row>
    <row r="10" spans="1:7">
      <c r="A10" t="s">
        <v>96</v>
      </c>
      <c r="B10">
        <v>1000</v>
      </c>
      <c r="C10">
        <v>2000</v>
      </c>
      <c r="D10">
        <v>22.5</v>
      </c>
      <c r="E10">
        <v>24.95</v>
      </c>
      <c r="F10">
        <v>10.9</v>
      </c>
      <c r="G10" t="s">
        <v>88</v>
      </c>
    </row>
    <row r="11" spans="1:7">
      <c r="A11" t="s">
        <v>97</v>
      </c>
      <c r="B11">
        <v>1000</v>
      </c>
      <c r="C11">
        <v>5000</v>
      </c>
      <c r="D11">
        <v>18.100000000000001</v>
      </c>
      <c r="E11">
        <v>19.98</v>
      </c>
      <c r="F11">
        <v>10.4</v>
      </c>
      <c r="G11" t="s">
        <v>88</v>
      </c>
    </row>
    <row r="12" spans="1:7">
      <c r="A12" t="s">
        <v>98</v>
      </c>
      <c r="B12">
        <v>100</v>
      </c>
      <c r="C12">
        <v>200</v>
      </c>
      <c r="D12">
        <v>20</v>
      </c>
      <c r="E12">
        <v>22</v>
      </c>
      <c r="F12">
        <v>10</v>
      </c>
      <c r="G12" t="s">
        <v>88</v>
      </c>
    </row>
    <row r="13" spans="1:7">
      <c r="A13" t="s">
        <v>99</v>
      </c>
      <c r="B13">
        <v>360</v>
      </c>
      <c r="C13">
        <v>480</v>
      </c>
      <c r="D13">
        <v>16.940000000000001</v>
      </c>
      <c r="E13">
        <v>18.54</v>
      </c>
      <c r="F13">
        <v>9.4</v>
      </c>
      <c r="G13" t="s">
        <v>88</v>
      </c>
    </row>
    <row r="14" spans="1:7">
      <c r="A14" t="s">
        <v>100</v>
      </c>
      <c r="B14">
        <v>80</v>
      </c>
      <c r="C14">
        <v>175</v>
      </c>
      <c r="D14">
        <v>101.25</v>
      </c>
      <c r="E14">
        <v>108.57</v>
      </c>
      <c r="F14">
        <v>7.2</v>
      </c>
      <c r="G14" t="s">
        <v>88</v>
      </c>
    </row>
    <row r="15" spans="1:7">
      <c r="A15" t="s">
        <v>101</v>
      </c>
      <c r="B15">
        <v>300</v>
      </c>
      <c r="C15">
        <v>400</v>
      </c>
      <c r="D15">
        <v>25.67</v>
      </c>
      <c r="E15">
        <v>27.5</v>
      </c>
      <c r="F15">
        <v>7.1</v>
      </c>
      <c r="G15" t="s">
        <v>88</v>
      </c>
    </row>
    <row r="16" spans="1:7">
      <c r="A16" t="s">
        <v>102</v>
      </c>
      <c r="B16">
        <v>100</v>
      </c>
      <c r="C16">
        <v>200</v>
      </c>
      <c r="D16">
        <v>60</v>
      </c>
      <c r="E16">
        <v>64</v>
      </c>
      <c r="F16">
        <v>6.7</v>
      </c>
      <c r="G16" t="s">
        <v>88</v>
      </c>
    </row>
    <row r="17" spans="1:7">
      <c r="A17" t="s">
        <v>103</v>
      </c>
      <c r="B17">
        <v>50</v>
      </c>
      <c r="C17">
        <v>100</v>
      </c>
      <c r="D17">
        <v>66</v>
      </c>
      <c r="E17">
        <v>70</v>
      </c>
      <c r="F17">
        <v>6.1</v>
      </c>
      <c r="G17" t="s">
        <v>88</v>
      </c>
    </row>
    <row r="18" spans="1:7">
      <c r="A18" t="s">
        <v>104</v>
      </c>
      <c r="B18">
        <v>110</v>
      </c>
      <c r="C18">
        <v>300</v>
      </c>
      <c r="D18">
        <v>55.45</v>
      </c>
      <c r="E18">
        <v>58.33</v>
      </c>
      <c r="F18">
        <v>5.2</v>
      </c>
      <c r="G18" t="s">
        <v>88</v>
      </c>
    </row>
    <row r="19" spans="1:7">
      <c r="A19" t="s">
        <v>105</v>
      </c>
      <c r="B19">
        <v>250</v>
      </c>
      <c r="C19">
        <v>500</v>
      </c>
      <c r="D19">
        <v>50.4</v>
      </c>
      <c r="E19">
        <v>52.6</v>
      </c>
      <c r="F19">
        <v>4.4000000000000004</v>
      </c>
      <c r="G19" t="s">
        <v>88</v>
      </c>
    </row>
    <row r="20" spans="1:7">
      <c r="A20" t="s">
        <v>106</v>
      </c>
      <c r="B20">
        <v>650</v>
      </c>
      <c r="C20">
        <v>1000</v>
      </c>
      <c r="D20">
        <v>49.85</v>
      </c>
      <c r="E20">
        <v>52</v>
      </c>
      <c r="F20">
        <v>4.3</v>
      </c>
      <c r="G20" t="s">
        <v>88</v>
      </c>
    </row>
    <row r="21" spans="1:7">
      <c r="A21" t="s">
        <v>107</v>
      </c>
      <c r="B21">
        <v>300</v>
      </c>
      <c r="C21">
        <v>600</v>
      </c>
      <c r="D21">
        <v>7.33</v>
      </c>
      <c r="E21">
        <v>7.5</v>
      </c>
      <c r="F21">
        <v>2.2999999999999998</v>
      </c>
      <c r="G21" t="s">
        <v>88</v>
      </c>
    </row>
    <row r="22" spans="1:7">
      <c r="A22" t="s">
        <v>108</v>
      </c>
      <c r="B22">
        <v>100</v>
      </c>
      <c r="C22">
        <v>200</v>
      </c>
      <c r="D22">
        <v>23</v>
      </c>
      <c r="E22">
        <v>23.5</v>
      </c>
      <c r="F22">
        <v>2.2000000000000002</v>
      </c>
      <c r="G22" t="s">
        <v>88</v>
      </c>
    </row>
    <row r="23" spans="1:7">
      <c r="A23" t="s">
        <v>109</v>
      </c>
      <c r="B23">
        <v>50</v>
      </c>
      <c r="C23">
        <v>200</v>
      </c>
      <c r="D23">
        <v>120</v>
      </c>
      <c r="E23">
        <v>122.5</v>
      </c>
      <c r="F23">
        <v>2.1</v>
      </c>
      <c r="G23" t="s">
        <v>88</v>
      </c>
    </row>
    <row r="24" spans="1:7">
      <c r="A24" t="s">
        <v>110</v>
      </c>
      <c r="B24">
        <v>75</v>
      </c>
      <c r="C24">
        <v>120</v>
      </c>
      <c r="D24">
        <v>40</v>
      </c>
      <c r="E24">
        <v>40.83</v>
      </c>
      <c r="F24">
        <v>2.1</v>
      </c>
      <c r="G24" t="s">
        <v>88</v>
      </c>
    </row>
    <row r="25" spans="1:7">
      <c r="A25" t="s">
        <v>111</v>
      </c>
      <c r="B25">
        <v>180</v>
      </c>
      <c r="C25">
        <v>340</v>
      </c>
      <c r="D25">
        <v>68.33</v>
      </c>
      <c r="E25">
        <v>69.41</v>
      </c>
      <c r="F25">
        <v>1.6</v>
      </c>
      <c r="G25" t="s">
        <v>88</v>
      </c>
    </row>
    <row r="26" spans="1:7">
      <c r="A26" t="s">
        <v>112</v>
      </c>
      <c r="B26">
        <v>100</v>
      </c>
      <c r="C26">
        <v>200</v>
      </c>
      <c r="D26">
        <v>31</v>
      </c>
      <c r="E26">
        <v>31.5</v>
      </c>
      <c r="F26">
        <v>1.6</v>
      </c>
      <c r="G26" t="s">
        <v>88</v>
      </c>
    </row>
    <row r="27" spans="1:7">
      <c r="A27" t="s">
        <v>113</v>
      </c>
      <c r="B27">
        <v>100</v>
      </c>
      <c r="C27">
        <v>500</v>
      </c>
      <c r="D27">
        <v>17</v>
      </c>
      <c r="E27">
        <v>17.2</v>
      </c>
      <c r="F27">
        <v>1.2</v>
      </c>
      <c r="G27" t="s">
        <v>88</v>
      </c>
    </row>
    <row r="28" spans="1:7">
      <c r="A28" t="s">
        <v>114</v>
      </c>
      <c r="B28">
        <v>500</v>
      </c>
      <c r="C28">
        <v>1000</v>
      </c>
      <c r="D28">
        <v>14.8</v>
      </c>
      <c r="E28">
        <v>14.9</v>
      </c>
      <c r="F28">
        <v>0.7</v>
      </c>
      <c r="G28" t="s">
        <v>88</v>
      </c>
    </row>
    <row r="29" spans="1:7">
      <c r="A29" t="s">
        <v>115</v>
      </c>
      <c r="B29">
        <v>50</v>
      </c>
      <c r="C29">
        <v>114</v>
      </c>
      <c r="D29">
        <v>112</v>
      </c>
      <c r="E29">
        <v>112.28</v>
      </c>
      <c r="F29">
        <v>0.3</v>
      </c>
      <c r="G29" t="s">
        <v>88</v>
      </c>
    </row>
    <row r="30" spans="1:7">
      <c r="A30" t="s">
        <v>116</v>
      </c>
      <c r="B30">
        <v>500</v>
      </c>
      <c r="C30">
        <v>1000</v>
      </c>
      <c r="D30">
        <v>49.8</v>
      </c>
      <c r="E30">
        <v>49.9</v>
      </c>
      <c r="F30">
        <v>0.2</v>
      </c>
      <c r="G30" t="s">
        <v>88</v>
      </c>
    </row>
    <row r="31" spans="1:7">
      <c r="A31" t="s">
        <v>117</v>
      </c>
      <c r="B31">
        <v>200</v>
      </c>
      <c r="C31">
        <v>400</v>
      </c>
      <c r="D31">
        <v>17</v>
      </c>
      <c r="E31">
        <v>17</v>
      </c>
      <c r="F31">
        <v>0</v>
      </c>
      <c r="G31" t="s">
        <v>118</v>
      </c>
    </row>
    <row r="32" spans="1:7">
      <c r="A32" t="s">
        <v>119</v>
      </c>
      <c r="B32">
        <v>100</v>
      </c>
      <c r="C32">
        <v>150</v>
      </c>
      <c r="D32">
        <v>70</v>
      </c>
      <c r="E32">
        <v>70</v>
      </c>
      <c r="F32">
        <v>0</v>
      </c>
      <c r="G32" t="s">
        <v>118</v>
      </c>
    </row>
    <row r="33" spans="1:7">
      <c r="A33" t="s">
        <v>120</v>
      </c>
      <c r="B33">
        <v>100</v>
      </c>
      <c r="C33">
        <v>200</v>
      </c>
      <c r="D33">
        <v>15</v>
      </c>
      <c r="E33">
        <v>15</v>
      </c>
      <c r="F33">
        <v>0</v>
      </c>
      <c r="G33" t="s">
        <v>118</v>
      </c>
    </row>
    <row r="34" spans="1:7">
      <c r="A34" t="s">
        <v>121</v>
      </c>
      <c r="B34">
        <v>500</v>
      </c>
      <c r="C34">
        <v>975</v>
      </c>
      <c r="D34">
        <v>19.399999999999999</v>
      </c>
      <c r="E34">
        <v>19.28</v>
      </c>
      <c r="F34">
        <v>-0.6</v>
      </c>
      <c r="G34" t="s">
        <v>122</v>
      </c>
    </row>
    <row r="35" spans="1:7">
      <c r="A35" t="s">
        <v>123</v>
      </c>
      <c r="B35">
        <v>100</v>
      </c>
      <c r="C35">
        <v>200</v>
      </c>
      <c r="D35">
        <v>72</v>
      </c>
      <c r="E35">
        <v>71</v>
      </c>
      <c r="F35">
        <v>-1.4</v>
      </c>
      <c r="G35" t="s">
        <v>122</v>
      </c>
    </row>
    <row r="36" spans="1:7">
      <c r="A36" t="s">
        <v>124</v>
      </c>
      <c r="B36">
        <v>100</v>
      </c>
      <c r="C36">
        <v>500</v>
      </c>
      <c r="D36">
        <v>49</v>
      </c>
      <c r="E36">
        <v>48</v>
      </c>
      <c r="F36">
        <v>-2</v>
      </c>
      <c r="G36" t="s">
        <v>122</v>
      </c>
    </row>
    <row r="37" spans="1:7">
      <c r="A37" t="s">
        <v>125</v>
      </c>
      <c r="B37">
        <v>500</v>
      </c>
      <c r="C37">
        <v>1000</v>
      </c>
      <c r="D37">
        <v>12.8</v>
      </c>
      <c r="E37">
        <v>12.5</v>
      </c>
      <c r="F37">
        <v>-2.2999999999999998</v>
      </c>
      <c r="G37" t="s">
        <v>122</v>
      </c>
    </row>
    <row r="38" spans="1:7">
      <c r="A38" t="s">
        <v>126</v>
      </c>
      <c r="B38">
        <v>1000</v>
      </c>
      <c r="C38">
        <v>3000</v>
      </c>
      <c r="D38">
        <v>2.9</v>
      </c>
      <c r="E38">
        <v>2.8</v>
      </c>
      <c r="F38">
        <v>-3.4</v>
      </c>
      <c r="G38" t="s">
        <v>122</v>
      </c>
    </row>
    <row r="39" spans="1:7">
      <c r="A39" t="s">
        <v>127</v>
      </c>
      <c r="B39">
        <v>150</v>
      </c>
      <c r="C39">
        <v>600</v>
      </c>
      <c r="D39">
        <v>20</v>
      </c>
      <c r="E39">
        <v>19.170000000000002</v>
      </c>
      <c r="F39">
        <v>-4.2</v>
      </c>
      <c r="G39" t="s">
        <v>122</v>
      </c>
    </row>
    <row r="40" spans="1:7">
      <c r="A40" t="s">
        <v>128</v>
      </c>
      <c r="B40">
        <v>50</v>
      </c>
      <c r="C40">
        <v>100</v>
      </c>
      <c r="D40">
        <v>76</v>
      </c>
      <c r="E40">
        <v>72</v>
      </c>
      <c r="F40">
        <v>-5.3</v>
      </c>
      <c r="G40" t="s">
        <v>122</v>
      </c>
    </row>
    <row r="41" spans="1:7">
      <c r="A41" t="s">
        <v>106</v>
      </c>
      <c r="B41">
        <v>300</v>
      </c>
      <c r="C41">
        <v>650</v>
      </c>
      <c r="D41">
        <v>52.67</v>
      </c>
      <c r="E41">
        <v>49.85</v>
      </c>
      <c r="F41">
        <v>-5.4</v>
      </c>
      <c r="G41" t="s">
        <v>122</v>
      </c>
    </row>
    <row r="42" spans="1:7">
      <c r="A42" t="s">
        <v>129</v>
      </c>
      <c r="B42">
        <v>180</v>
      </c>
      <c r="C42">
        <v>340</v>
      </c>
      <c r="D42">
        <v>83.33</v>
      </c>
      <c r="E42">
        <v>78.239999999999995</v>
      </c>
      <c r="F42">
        <v>-6.1</v>
      </c>
      <c r="G42" t="s">
        <v>122</v>
      </c>
    </row>
    <row r="43" spans="1:7">
      <c r="A43" t="s">
        <v>60</v>
      </c>
      <c r="B43">
        <v>250</v>
      </c>
      <c r="C43">
        <v>500</v>
      </c>
      <c r="D43">
        <v>100.4</v>
      </c>
      <c r="E43">
        <v>94</v>
      </c>
      <c r="F43">
        <v>-6.4</v>
      </c>
      <c r="G43" t="s">
        <v>122</v>
      </c>
    </row>
    <row r="44" spans="1:7">
      <c r="A44" t="s">
        <v>130</v>
      </c>
      <c r="B44">
        <v>50</v>
      </c>
      <c r="C44">
        <v>114</v>
      </c>
      <c r="D44">
        <v>120</v>
      </c>
      <c r="E44">
        <v>112.28</v>
      </c>
      <c r="F44">
        <v>-6.4</v>
      </c>
      <c r="G44" t="s">
        <v>122</v>
      </c>
    </row>
    <row r="45" spans="1:7">
      <c r="A45" t="s">
        <v>131</v>
      </c>
      <c r="B45">
        <v>400</v>
      </c>
      <c r="C45">
        <v>1000</v>
      </c>
      <c r="D45">
        <v>19.75</v>
      </c>
      <c r="E45">
        <v>18.399999999999999</v>
      </c>
      <c r="F45">
        <v>-6.8</v>
      </c>
      <c r="G45" t="s">
        <v>122</v>
      </c>
    </row>
    <row r="46" spans="1:7">
      <c r="A46" t="s">
        <v>132</v>
      </c>
      <c r="B46">
        <v>500</v>
      </c>
      <c r="C46">
        <v>1000</v>
      </c>
      <c r="D46">
        <v>27</v>
      </c>
      <c r="E46">
        <v>25</v>
      </c>
      <c r="F46">
        <v>-7.4</v>
      </c>
      <c r="G46" t="s">
        <v>122</v>
      </c>
    </row>
    <row r="47" spans="1:7">
      <c r="A47" t="s">
        <v>133</v>
      </c>
      <c r="B47">
        <v>200</v>
      </c>
      <c r="C47">
        <v>600</v>
      </c>
      <c r="D47">
        <v>19</v>
      </c>
      <c r="E47">
        <v>17.600000000000001</v>
      </c>
      <c r="F47">
        <v>-7.4</v>
      </c>
      <c r="G47" t="s">
        <v>122</v>
      </c>
    </row>
    <row r="48" spans="1:7">
      <c r="A48" t="s">
        <v>134</v>
      </c>
      <c r="B48">
        <v>900</v>
      </c>
      <c r="C48">
        <v>1900</v>
      </c>
      <c r="D48">
        <v>34.22</v>
      </c>
      <c r="E48">
        <v>31.47</v>
      </c>
      <c r="F48">
        <v>-8</v>
      </c>
      <c r="G48" t="s">
        <v>122</v>
      </c>
    </row>
    <row r="49" spans="1:7">
      <c r="A49" t="s">
        <v>78</v>
      </c>
      <c r="B49">
        <v>200</v>
      </c>
      <c r="C49">
        <v>700</v>
      </c>
      <c r="D49">
        <v>57</v>
      </c>
      <c r="E49">
        <v>52.43</v>
      </c>
      <c r="F49">
        <v>-8</v>
      </c>
      <c r="G49" t="s">
        <v>122</v>
      </c>
    </row>
    <row r="50" spans="1:7">
      <c r="A50" t="s">
        <v>128</v>
      </c>
      <c r="B50">
        <v>100</v>
      </c>
      <c r="C50">
        <v>200</v>
      </c>
      <c r="D50">
        <v>72</v>
      </c>
      <c r="E50">
        <v>66</v>
      </c>
      <c r="F50">
        <v>-8.3000000000000007</v>
      </c>
      <c r="G50" t="s">
        <v>122</v>
      </c>
    </row>
    <row r="51" spans="1:7">
      <c r="A51" t="s">
        <v>135</v>
      </c>
      <c r="B51">
        <v>200</v>
      </c>
      <c r="C51">
        <v>400</v>
      </c>
      <c r="D51">
        <v>72.5</v>
      </c>
      <c r="E51">
        <v>66</v>
      </c>
      <c r="F51">
        <v>-9</v>
      </c>
      <c r="G51" t="s">
        <v>122</v>
      </c>
    </row>
    <row r="52" spans="1:7">
      <c r="A52" t="s">
        <v>136</v>
      </c>
      <c r="B52">
        <v>168</v>
      </c>
      <c r="C52">
        <v>336</v>
      </c>
      <c r="D52">
        <v>42.86</v>
      </c>
      <c r="E52">
        <v>38.99</v>
      </c>
      <c r="F52">
        <v>-9</v>
      </c>
      <c r="G52" t="s">
        <v>122</v>
      </c>
    </row>
    <row r="53" spans="1:7">
      <c r="A53" t="s">
        <v>137</v>
      </c>
      <c r="B53">
        <v>100</v>
      </c>
      <c r="C53">
        <v>200</v>
      </c>
      <c r="D53">
        <v>55</v>
      </c>
      <c r="E53">
        <v>50</v>
      </c>
      <c r="F53">
        <v>-9.1</v>
      </c>
      <c r="G53" t="s">
        <v>122</v>
      </c>
    </row>
    <row r="54" spans="1:7">
      <c r="A54" t="s">
        <v>138</v>
      </c>
      <c r="B54">
        <v>200</v>
      </c>
      <c r="C54">
        <v>400</v>
      </c>
      <c r="D54">
        <v>73</v>
      </c>
      <c r="E54">
        <v>66.25</v>
      </c>
      <c r="F54">
        <v>-9.1999999999999993</v>
      </c>
      <c r="G54" t="s">
        <v>122</v>
      </c>
    </row>
    <row r="55" spans="1:7">
      <c r="A55" t="s">
        <v>139</v>
      </c>
      <c r="B55">
        <v>500</v>
      </c>
      <c r="C55">
        <v>1000</v>
      </c>
      <c r="D55">
        <v>32.4</v>
      </c>
      <c r="E55">
        <v>29.4</v>
      </c>
      <c r="F55">
        <v>-9.3000000000000007</v>
      </c>
      <c r="G55" t="s">
        <v>122</v>
      </c>
    </row>
    <row r="56" spans="1:7">
      <c r="A56" t="s">
        <v>140</v>
      </c>
      <c r="B56">
        <v>1000</v>
      </c>
      <c r="C56">
        <v>3000</v>
      </c>
      <c r="D56">
        <v>2.1</v>
      </c>
      <c r="E56">
        <v>1.9</v>
      </c>
      <c r="F56">
        <v>-9.5</v>
      </c>
      <c r="G56" t="s">
        <v>122</v>
      </c>
    </row>
    <row r="57" spans="1:7">
      <c r="A57" t="s">
        <v>141</v>
      </c>
      <c r="B57">
        <v>475</v>
      </c>
      <c r="C57">
        <v>875</v>
      </c>
      <c r="D57">
        <v>36.840000000000003</v>
      </c>
      <c r="E57">
        <v>33.14</v>
      </c>
      <c r="F57">
        <v>-10</v>
      </c>
      <c r="G57" t="s">
        <v>122</v>
      </c>
    </row>
    <row r="58" spans="1:7">
      <c r="A58" t="s">
        <v>142</v>
      </c>
      <c r="B58">
        <v>400</v>
      </c>
      <c r="C58">
        <v>850</v>
      </c>
      <c r="D58">
        <v>13.75</v>
      </c>
      <c r="E58">
        <v>12.35</v>
      </c>
      <c r="F58">
        <v>-10.199999999999999</v>
      </c>
      <c r="G58" t="s">
        <v>122</v>
      </c>
    </row>
    <row r="59" spans="1:7">
      <c r="A59" t="s">
        <v>143</v>
      </c>
      <c r="B59">
        <v>150</v>
      </c>
      <c r="C59">
        <v>300</v>
      </c>
      <c r="D59">
        <v>54</v>
      </c>
      <c r="E59">
        <v>48</v>
      </c>
      <c r="F59">
        <v>-11.1</v>
      </c>
      <c r="G59" t="s">
        <v>122</v>
      </c>
    </row>
    <row r="60" spans="1:7">
      <c r="A60" t="s">
        <v>144</v>
      </c>
      <c r="B60">
        <v>1000</v>
      </c>
      <c r="C60">
        <v>5000</v>
      </c>
      <c r="D60">
        <v>7.5</v>
      </c>
      <c r="E60">
        <v>6.66</v>
      </c>
      <c r="F60">
        <v>-11.2</v>
      </c>
      <c r="G60" t="s">
        <v>122</v>
      </c>
    </row>
    <row r="61" spans="1:7">
      <c r="A61" t="s">
        <v>145</v>
      </c>
      <c r="B61">
        <v>1000</v>
      </c>
      <c r="C61">
        <v>5000</v>
      </c>
      <c r="D61">
        <v>6</v>
      </c>
      <c r="E61">
        <v>5.3</v>
      </c>
      <c r="F61">
        <v>-11.7</v>
      </c>
      <c r="G61" t="s">
        <v>122</v>
      </c>
    </row>
    <row r="62" spans="1:7">
      <c r="A62" t="s">
        <v>143</v>
      </c>
      <c r="B62">
        <v>80</v>
      </c>
      <c r="C62">
        <v>150</v>
      </c>
      <c r="D62">
        <v>61.25</v>
      </c>
      <c r="E62">
        <v>54</v>
      </c>
      <c r="F62">
        <v>-11.8</v>
      </c>
      <c r="G62" t="s">
        <v>122</v>
      </c>
    </row>
    <row r="63" spans="1:7">
      <c r="A63" t="s">
        <v>146</v>
      </c>
      <c r="B63">
        <v>348</v>
      </c>
      <c r="C63">
        <v>696</v>
      </c>
      <c r="D63">
        <v>15.8</v>
      </c>
      <c r="E63">
        <v>13.94</v>
      </c>
      <c r="F63">
        <v>-11.8</v>
      </c>
      <c r="G63" t="s">
        <v>122</v>
      </c>
    </row>
    <row r="64" spans="1:7">
      <c r="A64" t="s">
        <v>147</v>
      </c>
      <c r="B64">
        <v>50</v>
      </c>
      <c r="C64">
        <v>100</v>
      </c>
      <c r="D64">
        <v>76</v>
      </c>
      <c r="E64">
        <v>67</v>
      </c>
      <c r="F64">
        <v>-11.8</v>
      </c>
      <c r="G64" t="s">
        <v>122</v>
      </c>
    </row>
    <row r="65" spans="1:7">
      <c r="A65" t="s">
        <v>148</v>
      </c>
      <c r="B65">
        <v>50</v>
      </c>
      <c r="C65">
        <v>100</v>
      </c>
      <c r="D65">
        <v>50</v>
      </c>
      <c r="E65">
        <v>44</v>
      </c>
      <c r="F65">
        <v>-12</v>
      </c>
      <c r="G65" t="s">
        <v>122</v>
      </c>
    </row>
    <row r="66" spans="1:7">
      <c r="A66" t="s">
        <v>123</v>
      </c>
      <c r="B66">
        <v>50</v>
      </c>
      <c r="C66">
        <v>100</v>
      </c>
      <c r="D66">
        <v>82</v>
      </c>
      <c r="E66">
        <v>72</v>
      </c>
      <c r="F66">
        <v>-12.2</v>
      </c>
      <c r="G66" t="s">
        <v>122</v>
      </c>
    </row>
    <row r="67" spans="1:7">
      <c r="A67" t="s">
        <v>149</v>
      </c>
      <c r="B67">
        <v>100</v>
      </c>
      <c r="C67">
        <v>200</v>
      </c>
      <c r="D67">
        <v>115</v>
      </c>
      <c r="E67">
        <v>100</v>
      </c>
      <c r="F67">
        <v>-13</v>
      </c>
      <c r="G67" t="s">
        <v>122</v>
      </c>
    </row>
    <row r="68" spans="1:7">
      <c r="A68" t="s">
        <v>150</v>
      </c>
      <c r="B68">
        <v>80</v>
      </c>
      <c r="C68">
        <v>250</v>
      </c>
      <c r="D68">
        <v>62.5</v>
      </c>
      <c r="E68">
        <v>54</v>
      </c>
      <c r="F68">
        <v>-13.6</v>
      </c>
      <c r="G68" t="s">
        <v>122</v>
      </c>
    </row>
    <row r="69" spans="1:7">
      <c r="A69" t="s">
        <v>90</v>
      </c>
      <c r="B69">
        <v>100</v>
      </c>
      <c r="C69">
        <v>1000</v>
      </c>
      <c r="D69">
        <v>20</v>
      </c>
      <c r="E69">
        <v>17.2</v>
      </c>
      <c r="F69">
        <v>-14</v>
      </c>
      <c r="G69" t="s">
        <v>122</v>
      </c>
    </row>
    <row r="70" spans="1:7">
      <c r="A70" t="s">
        <v>151</v>
      </c>
      <c r="B70">
        <v>290</v>
      </c>
      <c r="C70">
        <v>900</v>
      </c>
      <c r="D70">
        <v>45.86</v>
      </c>
      <c r="E70">
        <v>39.44</v>
      </c>
      <c r="F70">
        <v>-14</v>
      </c>
      <c r="G70" t="s">
        <v>122</v>
      </c>
    </row>
    <row r="71" spans="1:7">
      <c r="A71" t="s">
        <v>152</v>
      </c>
      <c r="B71">
        <v>100</v>
      </c>
      <c r="C71">
        <v>150</v>
      </c>
      <c r="D71">
        <v>126</v>
      </c>
      <c r="E71">
        <v>108</v>
      </c>
      <c r="F71">
        <v>-14.3</v>
      </c>
      <c r="G71" t="s">
        <v>122</v>
      </c>
    </row>
    <row r="72" spans="1:7">
      <c r="A72" t="s">
        <v>153</v>
      </c>
      <c r="B72">
        <v>300</v>
      </c>
      <c r="C72">
        <v>700</v>
      </c>
      <c r="D72">
        <v>15.67</v>
      </c>
      <c r="E72">
        <v>13.43</v>
      </c>
      <c r="F72">
        <v>-14.3</v>
      </c>
      <c r="G72" t="s">
        <v>122</v>
      </c>
    </row>
    <row r="73" spans="1:7">
      <c r="A73" t="s">
        <v>154</v>
      </c>
      <c r="B73">
        <v>200</v>
      </c>
      <c r="C73">
        <v>400</v>
      </c>
      <c r="D73">
        <v>63</v>
      </c>
      <c r="E73">
        <v>53.25</v>
      </c>
      <c r="F73">
        <v>-15.5</v>
      </c>
      <c r="G73" t="s">
        <v>122</v>
      </c>
    </row>
    <row r="74" spans="1:7">
      <c r="A74" t="s">
        <v>155</v>
      </c>
      <c r="B74">
        <v>100</v>
      </c>
      <c r="C74">
        <v>200</v>
      </c>
      <c r="D74">
        <v>157</v>
      </c>
      <c r="E74">
        <v>131.5</v>
      </c>
      <c r="F74">
        <v>-16.2</v>
      </c>
      <c r="G74" t="s">
        <v>122</v>
      </c>
    </row>
    <row r="75" spans="1:7">
      <c r="A75" t="s">
        <v>102</v>
      </c>
      <c r="B75">
        <v>50</v>
      </c>
      <c r="C75">
        <v>100</v>
      </c>
      <c r="D75">
        <v>72</v>
      </c>
      <c r="E75">
        <v>60</v>
      </c>
      <c r="F75">
        <v>-16.7</v>
      </c>
      <c r="G75" t="s">
        <v>122</v>
      </c>
    </row>
    <row r="76" spans="1:7">
      <c r="A76" t="s">
        <v>156</v>
      </c>
      <c r="B76">
        <v>50</v>
      </c>
      <c r="C76">
        <v>100</v>
      </c>
      <c r="D76">
        <v>120</v>
      </c>
      <c r="E76">
        <v>99</v>
      </c>
      <c r="F76">
        <v>-17.5</v>
      </c>
      <c r="G76" t="s">
        <v>122</v>
      </c>
    </row>
    <row r="77" spans="1:7">
      <c r="A77" t="s">
        <v>157</v>
      </c>
      <c r="B77">
        <v>200</v>
      </c>
      <c r="C77">
        <v>400</v>
      </c>
      <c r="D77">
        <v>71.5</v>
      </c>
      <c r="E77">
        <v>58.75</v>
      </c>
      <c r="F77">
        <v>-17.8</v>
      </c>
      <c r="G77" t="s">
        <v>122</v>
      </c>
    </row>
    <row r="78" spans="1:7">
      <c r="A78" t="s">
        <v>158</v>
      </c>
      <c r="B78">
        <v>250</v>
      </c>
      <c r="C78">
        <v>700</v>
      </c>
      <c r="D78">
        <v>46.8</v>
      </c>
      <c r="E78">
        <v>38.43</v>
      </c>
      <c r="F78">
        <v>-17.899999999999999</v>
      </c>
      <c r="G78" t="s">
        <v>122</v>
      </c>
    </row>
    <row r="79" spans="1:7">
      <c r="A79" t="s">
        <v>153</v>
      </c>
      <c r="B79">
        <v>182</v>
      </c>
      <c r="C79">
        <v>300</v>
      </c>
      <c r="D79">
        <v>19.23</v>
      </c>
      <c r="E79">
        <v>15.67</v>
      </c>
      <c r="F79">
        <v>-18.5</v>
      </c>
      <c r="G79" t="s">
        <v>122</v>
      </c>
    </row>
    <row r="80" spans="1:7">
      <c r="A80" t="s">
        <v>155</v>
      </c>
      <c r="B80">
        <v>200</v>
      </c>
      <c r="C80">
        <v>300</v>
      </c>
      <c r="D80">
        <v>131.5</v>
      </c>
      <c r="E80">
        <v>106.33</v>
      </c>
      <c r="F80">
        <v>-19.100000000000001</v>
      </c>
      <c r="G80" t="s">
        <v>122</v>
      </c>
    </row>
    <row r="81" spans="1:7">
      <c r="A81" t="s">
        <v>159</v>
      </c>
      <c r="B81">
        <v>400</v>
      </c>
      <c r="C81">
        <v>500</v>
      </c>
      <c r="D81">
        <v>28.25</v>
      </c>
      <c r="E81">
        <v>21.8</v>
      </c>
      <c r="F81">
        <v>-22.8</v>
      </c>
      <c r="G81" t="s">
        <v>122</v>
      </c>
    </row>
    <row r="82" spans="1:7">
      <c r="A82" t="s">
        <v>160</v>
      </c>
      <c r="B82">
        <v>250</v>
      </c>
      <c r="C82">
        <v>1000</v>
      </c>
      <c r="D82">
        <v>25.2</v>
      </c>
      <c r="E82">
        <v>19.100000000000001</v>
      </c>
      <c r="F82">
        <v>-24.2</v>
      </c>
      <c r="G82" t="s">
        <v>122</v>
      </c>
    </row>
    <row r="83" spans="1:7">
      <c r="A83" t="s">
        <v>161</v>
      </c>
      <c r="B83">
        <v>50</v>
      </c>
      <c r="C83">
        <v>100</v>
      </c>
      <c r="D83">
        <v>44</v>
      </c>
      <c r="E83">
        <v>32</v>
      </c>
      <c r="F83">
        <v>-27.3</v>
      </c>
      <c r="G83" t="s">
        <v>122</v>
      </c>
    </row>
    <row r="84" spans="1:7">
      <c r="A84" t="s">
        <v>162</v>
      </c>
      <c r="B84">
        <v>250</v>
      </c>
      <c r="C84">
        <v>500</v>
      </c>
      <c r="D84">
        <v>3.6</v>
      </c>
      <c r="E84">
        <v>2.6</v>
      </c>
      <c r="F84">
        <v>-27.8</v>
      </c>
      <c r="G84" t="s">
        <v>122</v>
      </c>
    </row>
    <row r="85" spans="1:7">
      <c r="A85" t="s">
        <v>163</v>
      </c>
      <c r="B85">
        <v>1000</v>
      </c>
      <c r="C85">
        <v>10000</v>
      </c>
      <c r="D85">
        <v>5.2</v>
      </c>
      <c r="E85">
        <v>3.75</v>
      </c>
      <c r="F85">
        <v>-27.9</v>
      </c>
      <c r="G85" t="s">
        <v>122</v>
      </c>
    </row>
    <row r="86" spans="1:7">
      <c r="A86" t="s">
        <v>164</v>
      </c>
      <c r="B86">
        <v>1000</v>
      </c>
      <c r="C86">
        <v>4000</v>
      </c>
      <c r="D86">
        <v>19.5</v>
      </c>
      <c r="E86">
        <v>13.73</v>
      </c>
      <c r="F86">
        <v>-29.6</v>
      </c>
      <c r="G86" t="s">
        <v>122</v>
      </c>
    </row>
    <row r="87" spans="1:7">
      <c r="A87" t="s">
        <v>165</v>
      </c>
      <c r="B87">
        <v>50</v>
      </c>
      <c r="C87">
        <v>75</v>
      </c>
      <c r="D87">
        <v>38</v>
      </c>
      <c r="E87">
        <v>26.67</v>
      </c>
      <c r="F87">
        <v>-29.8</v>
      </c>
      <c r="G87" t="s">
        <v>122</v>
      </c>
    </row>
    <row r="88" spans="1:7">
      <c r="A88" t="s">
        <v>166</v>
      </c>
      <c r="B88">
        <v>100</v>
      </c>
      <c r="C88">
        <v>750</v>
      </c>
      <c r="D88">
        <v>70</v>
      </c>
      <c r="E88">
        <v>47.87</v>
      </c>
      <c r="F88">
        <v>-31.6</v>
      </c>
      <c r="G88" t="s">
        <v>122</v>
      </c>
    </row>
    <row r="89" spans="1:7">
      <c r="A89" t="s">
        <v>167</v>
      </c>
      <c r="B89">
        <v>250</v>
      </c>
      <c r="C89">
        <v>500</v>
      </c>
      <c r="D89">
        <v>4.4000000000000004</v>
      </c>
      <c r="E89">
        <v>3</v>
      </c>
      <c r="F89">
        <v>-31.8</v>
      </c>
      <c r="G89" t="s">
        <v>122</v>
      </c>
    </row>
    <row r="90" spans="1:7">
      <c r="A90" t="s">
        <v>168</v>
      </c>
      <c r="B90">
        <v>100</v>
      </c>
      <c r="C90">
        <v>400</v>
      </c>
      <c r="D90">
        <v>73</v>
      </c>
      <c r="E90">
        <v>47</v>
      </c>
      <c r="F90">
        <v>-35.6</v>
      </c>
      <c r="G90" t="s">
        <v>122</v>
      </c>
    </row>
    <row r="91" spans="1:7">
      <c r="A91" t="s">
        <v>169</v>
      </c>
      <c r="B91">
        <v>200</v>
      </c>
      <c r="C91">
        <v>500</v>
      </c>
      <c r="D91">
        <v>22.5</v>
      </c>
      <c r="E91">
        <v>14</v>
      </c>
      <c r="F91">
        <v>-37.799999999999997</v>
      </c>
      <c r="G91" t="s">
        <v>122</v>
      </c>
    </row>
    <row r="92" spans="1:7">
      <c r="A92" t="s">
        <v>170</v>
      </c>
      <c r="B92">
        <v>250</v>
      </c>
      <c r="C92">
        <v>450</v>
      </c>
      <c r="D92">
        <v>53.2</v>
      </c>
      <c r="E92">
        <v>32.22</v>
      </c>
      <c r="F92">
        <v>-39.4</v>
      </c>
      <c r="G92" t="s">
        <v>122</v>
      </c>
    </row>
    <row r="93" spans="1:7">
      <c r="A93" t="s">
        <v>171</v>
      </c>
      <c r="B93">
        <v>54</v>
      </c>
      <c r="C93">
        <v>108</v>
      </c>
      <c r="D93">
        <v>85.19</v>
      </c>
      <c r="E93">
        <v>50</v>
      </c>
      <c r="F93">
        <v>-41.3</v>
      </c>
      <c r="G93" t="s">
        <v>122</v>
      </c>
    </row>
    <row r="94" spans="1:7">
      <c r="A94" t="s">
        <v>172</v>
      </c>
      <c r="B94">
        <v>348</v>
      </c>
      <c r="C94">
        <v>696</v>
      </c>
      <c r="D94">
        <v>17.239999999999998</v>
      </c>
      <c r="E94">
        <v>8.91</v>
      </c>
      <c r="F94">
        <v>-48.3</v>
      </c>
      <c r="G94" t="s">
        <v>122</v>
      </c>
    </row>
    <row r="95" spans="1:7">
      <c r="A95" t="s">
        <v>173</v>
      </c>
      <c r="B95">
        <v>425</v>
      </c>
      <c r="C95">
        <v>680</v>
      </c>
      <c r="D95">
        <v>24.71</v>
      </c>
      <c r="E95">
        <v>11.91</v>
      </c>
      <c r="F95">
        <v>-51.8</v>
      </c>
      <c r="G95" t="s">
        <v>122</v>
      </c>
    </row>
    <row r="96" spans="1:7">
      <c r="A96" t="s">
        <v>104</v>
      </c>
      <c r="B96">
        <v>100</v>
      </c>
      <c r="C96">
        <v>110</v>
      </c>
      <c r="D96">
        <v>118</v>
      </c>
      <c r="E96">
        <v>55.45</v>
      </c>
      <c r="F96">
        <v>-53</v>
      </c>
      <c r="G96" t="s">
        <v>122</v>
      </c>
    </row>
    <row r="97" spans="1:7">
      <c r="A97" t="s">
        <v>174</v>
      </c>
      <c r="B97">
        <v>70</v>
      </c>
      <c r="C97">
        <v>80</v>
      </c>
      <c r="D97">
        <v>107.14</v>
      </c>
      <c r="E97">
        <v>47.5</v>
      </c>
      <c r="F97">
        <v>-55.7</v>
      </c>
      <c r="G97" t="s">
        <v>122</v>
      </c>
    </row>
    <row r="98" spans="1:7">
      <c r="A98" t="s">
        <v>136</v>
      </c>
      <c r="B98">
        <v>336</v>
      </c>
      <c r="C98">
        <v>696</v>
      </c>
      <c r="D98">
        <v>38.99</v>
      </c>
      <c r="E98">
        <v>17.239999999999998</v>
      </c>
      <c r="F98">
        <v>-55.8</v>
      </c>
      <c r="G98" t="s">
        <v>122</v>
      </c>
    </row>
    <row r="99" spans="1:7">
      <c r="A99" t="s">
        <v>175</v>
      </c>
      <c r="B99">
        <v>200</v>
      </c>
      <c r="C99">
        <v>750</v>
      </c>
      <c r="D99">
        <v>34.5</v>
      </c>
      <c r="E99">
        <v>12.67</v>
      </c>
      <c r="F99">
        <v>-63.3</v>
      </c>
      <c r="G99" t="s">
        <v>122</v>
      </c>
    </row>
    <row r="100" spans="1:7">
      <c r="A100" t="s">
        <v>104</v>
      </c>
      <c r="B100">
        <v>50</v>
      </c>
      <c r="C100">
        <v>100</v>
      </c>
      <c r="D100">
        <v>502</v>
      </c>
      <c r="E100">
        <v>118</v>
      </c>
      <c r="F100">
        <v>-76.5</v>
      </c>
      <c r="G100" t="s">
        <v>122</v>
      </c>
    </row>
    <row r="101" spans="1:7">
      <c r="A101" t="s">
        <v>176</v>
      </c>
      <c r="B101">
        <v>58</v>
      </c>
      <c r="C101">
        <v>1160</v>
      </c>
      <c r="D101">
        <v>150</v>
      </c>
      <c r="E101">
        <v>7.76</v>
      </c>
      <c r="F101">
        <v>-94.8</v>
      </c>
      <c r="G101" t="s">
        <v>122</v>
      </c>
    </row>
    <row r="102" spans="1:7">
      <c r="A102" t="s">
        <v>177</v>
      </c>
      <c r="B102">
        <v>72</v>
      </c>
      <c r="C102">
        <v>1160</v>
      </c>
      <c r="D102">
        <v>306.94</v>
      </c>
      <c r="E102">
        <v>6.38</v>
      </c>
      <c r="F102">
        <v>-97.9</v>
      </c>
      <c r="G102" t="s">
        <v>122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1829-9BEB-464F-8167-7F67A6562C60}">
  <dimension ref="A1:H26"/>
  <sheetViews>
    <sheetView workbookViewId="0">
      <selection activeCell="K16" sqref="K16"/>
    </sheetView>
  </sheetViews>
  <sheetFormatPr defaultRowHeight="14.25"/>
  <cols>
    <col min="1" max="1" width="49.06640625" bestFit="1" customWidth="1"/>
    <col min="2" max="2" width="6.1328125" bestFit="1" customWidth="1"/>
    <col min="3" max="3" width="13.06640625" bestFit="1" customWidth="1"/>
    <col min="4" max="4" width="16.86328125" bestFit="1" customWidth="1"/>
    <col min="5" max="5" width="13.9296875" bestFit="1" customWidth="1"/>
    <col min="6" max="6" width="9.796875" bestFit="1" customWidth="1"/>
    <col min="7" max="7" width="11.9296875" bestFit="1" customWidth="1"/>
    <col min="8" max="8" width="11.265625" bestFit="1" customWidth="1"/>
  </cols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56</v>
      </c>
      <c r="B2">
        <v>2600</v>
      </c>
      <c r="C2">
        <v>1399</v>
      </c>
      <c r="D2">
        <v>46</v>
      </c>
      <c r="E2">
        <v>1201</v>
      </c>
      <c r="F2">
        <v>23</v>
      </c>
      <c r="G2">
        <v>1</v>
      </c>
      <c r="H2">
        <v>22</v>
      </c>
    </row>
    <row r="3" spans="1:8">
      <c r="A3" t="s">
        <v>57</v>
      </c>
      <c r="B3">
        <v>1549</v>
      </c>
      <c r="C3">
        <v>849</v>
      </c>
      <c r="D3">
        <v>45</v>
      </c>
      <c r="E3">
        <v>700</v>
      </c>
      <c r="F3">
        <v>24</v>
      </c>
      <c r="G3">
        <v>2</v>
      </c>
      <c r="H3">
        <v>22</v>
      </c>
    </row>
    <row r="4" spans="1:8">
      <c r="A4" t="s">
        <v>58</v>
      </c>
      <c r="B4">
        <v>660</v>
      </c>
      <c r="C4">
        <v>396</v>
      </c>
      <c r="D4">
        <v>40</v>
      </c>
      <c r="E4">
        <v>264</v>
      </c>
      <c r="F4">
        <v>27</v>
      </c>
      <c r="G4">
        <v>3</v>
      </c>
      <c r="H4">
        <v>24</v>
      </c>
    </row>
    <row r="5" spans="1:8">
      <c r="A5" t="s">
        <v>59</v>
      </c>
      <c r="B5">
        <v>1099</v>
      </c>
      <c r="C5">
        <v>849</v>
      </c>
      <c r="D5">
        <v>22</v>
      </c>
      <c r="E5">
        <v>250</v>
      </c>
      <c r="F5">
        <v>81</v>
      </c>
      <c r="G5">
        <v>4</v>
      </c>
      <c r="H5">
        <v>77</v>
      </c>
    </row>
    <row r="6" spans="1:8">
      <c r="A6" t="s">
        <v>60</v>
      </c>
      <c r="B6">
        <v>695</v>
      </c>
      <c r="C6">
        <v>470</v>
      </c>
      <c r="D6">
        <v>32</v>
      </c>
      <c r="E6">
        <v>225</v>
      </c>
      <c r="F6">
        <v>31</v>
      </c>
      <c r="G6">
        <v>5</v>
      </c>
      <c r="H6">
        <v>26</v>
      </c>
    </row>
    <row r="7" spans="1:8">
      <c r="A7" t="s">
        <v>61</v>
      </c>
      <c r="B7">
        <v>1200</v>
      </c>
      <c r="C7">
        <v>984</v>
      </c>
      <c r="D7">
        <v>18</v>
      </c>
      <c r="E7">
        <v>216</v>
      </c>
      <c r="F7">
        <v>140</v>
      </c>
      <c r="G7">
        <v>6</v>
      </c>
      <c r="H7">
        <v>134</v>
      </c>
    </row>
    <row r="8" spans="1:8">
      <c r="A8" t="s">
        <v>62</v>
      </c>
      <c r="B8">
        <v>1099</v>
      </c>
      <c r="C8">
        <v>899</v>
      </c>
      <c r="D8">
        <v>18</v>
      </c>
      <c r="E8">
        <v>200</v>
      </c>
      <c r="F8">
        <v>140</v>
      </c>
      <c r="G8">
        <v>7</v>
      </c>
      <c r="H8">
        <v>133</v>
      </c>
    </row>
    <row r="9" spans="1:8">
      <c r="A9" t="s">
        <v>63</v>
      </c>
      <c r="B9">
        <v>1099</v>
      </c>
      <c r="C9">
        <v>899</v>
      </c>
      <c r="D9">
        <v>18</v>
      </c>
      <c r="E9">
        <v>200</v>
      </c>
      <c r="F9">
        <v>140</v>
      </c>
      <c r="G9">
        <v>7</v>
      </c>
      <c r="H9">
        <v>133</v>
      </c>
    </row>
    <row r="10" spans="1:8">
      <c r="A10" t="s">
        <v>64</v>
      </c>
      <c r="B10">
        <v>355</v>
      </c>
      <c r="C10">
        <v>177</v>
      </c>
      <c r="D10">
        <v>50</v>
      </c>
      <c r="E10">
        <v>178</v>
      </c>
      <c r="F10">
        <v>4</v>
      </c>
      <c r="G10">
        <v>9</v>
      </c>
      <c r="H10">
        <v>-5</v>
      </c>
    </row>
    <row r="11" spans="1:8">
      <c r="A11" t="s">
        <v>65</v>
      </c>
      <c r="B11">
        <v>699</v>
      </c>
      <c r="C11">
        <v>549</v>
      </c>
      <c r="D11">
        <v>21</v>
      </c>
      <c r="E11">
        <v>150</v>
      </c>
      <c r="F11">
        <v>90</v>
      </c>
      <c r="G11">
        <v>10</v>
      </c>
      <c r="H11">
        <v>80</v>
      </c>
    </row>
    <row r="12" spans="1:8">
      <c r="A12" t="s">
        <v>66</v>
      </c>
      <c r="B12">
        <v>295</v>
      </c>
      <c r="C12">
        <v>147</v>
      </c>
      <c r="D12">
        <v>50</v>
      </c>
      <c r="E12">
        <v>148</v>
      </c>
      <c r="F12">
        <v>4</v>
      </c>
      <c r="G12">
        <v>11</v>
      </c>
      <c r="H12">
        <v>-7</v>
      </c>
    </row>
    <row r="13" spans="1:8">
      <c r="A13" t="s">
        <v>67</v>
      </c>
      <c r="B13">
        <v>1450</v>
      </c>
      <c r="C13">
        <v>1305</v>
      </c>
      <c r="D13">
        <v>10</v>
      </c>
      <c r="E13">
        <v>145</v>
      </c>
      <c r="F13">
        <v>386</v>
      </c>
      <c r="G13">
        <v>12</v>
      </c>
      <c r="H13">
        <v>374</v>
      </c>
    </row>
    <row r="14" spans="1:8">
      <c r="A14" t="s">
        <v>68</v>
      </c>
      <c r="B14">
        <v>280</v>
      </c>
      <c r="C14">
        <v>140</v>
      </c>
      <c r="D14">
        <v>50</v>
      </c>
      <c r="E14">
        <v>140</v>
      </c>
      <c r="F14">
        <v>4</v>
      </c>
      <c r="G14">
        <v>13</v>
      </c>
      <c r="H14">
        <v>-9</v>
      </c>
    </row>
    <row r="15" spans="1:8">
      <c r="A15" t="s">
        <v>69</v>
      </c>
      <c r="B15">
        <v>280</v>
      </c>
      <c r="C15">
        <v>140</v>
      </c>
      <c r="D15">
        <v>50</v>
      </c>
      <c r="E15">
        <v>140</v>
      </c>
      <c r="F15">
        <v>4</v>
      </c>
      <c r="G15">
        <v>13</v>
      </c>
      <c r="H15">
        <v>-9</v>
      </c>
    </row>
    <row r="16" spans="1:8">
      <c r="A16" t="s">
        <v>70</v>
      </c>
      <c r="B16">
        <v>280</v>
      </c>
      <c r="C16">
        <v>140</v>
      </c>
      <c r="D16">
        <v>50</v>
      </c>
      <c r="E16">
        <v>140</v>
      </c>
      <c r="F16">
        <v>4</v>
      </c>
      <c r="G16">
        <v>13</v>
      </c>
      <c r="H16">
        <v>-9</v>
      </c>
    </row>
    <row r="17" spans="1:8">
      <c r="A17" t="s">
        <v>71</v>
      </c>
      <c r="B17">
        <v>280</v>
      </c>
      <c r="C17">
        <v>140</v>
      </c>
      <c r="D17">
        <v>50</v>
      </c>
      <c r="E17">
        <v>140</v>
      </c>
      <c r="F17">
        <v>4</v>
      </c>
      <c r="G17">
        <v>13</v>
      </c>
      <c r="H17">
        <v>-9</v>
      </c>
    </row>
    <row r="18" spans="1:8">
      <c r="A18" t="s">
        <v>72</v>
      </c>
      <c r="B18">
        <v>275</v>
      </c>
      <c r="C18">
        <v>137</v>
      </c>
      <c r="D18">
        <v>50</v>
      </c>
      <c r="E18">
        <v>138</v>
      </c>
      <c r="F18">
        <v>4</v>
      </c>
      <c r="G18">
        <v>17</v>
      </c>
      <c r="H18">
        <v>-13</v>
      </c>
    </row>
    <row r="19" spans="1:8">
      <c r="A19" t="s">
        <v>73</v>
      </c>
      <c r="B19">
        <v>275</v>
      </c>
      <c r="C19">
        <v>137</v>
      </c>
      <c r="D19">
        <v>50</v>
      </c>
      <c r="E19">
        <v>138</v>
      </c>
      <c r="F19">
        <v>4</v>
      </c>
      <c r="G19">
        <v>17</v>
      </c>
      <c r="H19">
        <v>-13</v>
      </c>
    </row>
    <row r="20" spans="1:8">
      <c r="A20" t="s">
        <v>74</v>
      </c>
      <c r="B20">
        <v>275</v>
      </c>
      <c r="C20">
        <v>137</v>
      </c>
      <c r="D20">
        <v>50</v>
      </c>
      <c r="E20">
        <v>138</v>
      </c>
      <c r="F20">
        <v>4</v>
      </c>
      <c r="G20">
        <v>17</v>
      </c>
      <c r="H20">
        <v>-13</v>
      </c>
    </row>
    <row r="21" spans="1:8">
      <c r="A21" t="s">
        <v>75</v>
      </c>
      <c r="B21">
        <v>250</v>
      </c>
      <c r="C21">
        <v>125</v>
      </c>
      <c r="D21">
        <v>50</v>
      </c>
      <c r="E21">
        <v>125</v>
      </c>
      <c r="F21">
        <v>4</v>
      </c>
      <c r="G21">
        <v>20</v>
      </c>
      <c r="H21">
        <v>-16</v>
      </c>
    </row>
    <row r="22" spans="1:8">
      <c r="A22" t="s">
        <v>76</v>
      </c>
      <c r="B22">
        <v>699</v>
      </c>
      <c r="C22">
        <v>575</v>
      </c>
      <c r="D22">
        <v>17</v>
      </c>
      <c r="E22">
        <v>124</v>
      </c>
      <c r="F22">
        <v>152</v>
      </c>
      <c r="G22">
        <v>21</v>
      </c>
      <c r="H22">
        <v>131</v>
      </c>
    </row>
    <row r="23" spans="1:8">
      <c r="A23" t="s">
        <v>77</v>
      </c>
      <c r="B23">
        <v>585</v>
      </c>
      <c r="C23">
        <v>462</v>
      </c>
      <c r="D23">
        <v>21</v>
      </c>
      <c r="E23">
        <v>123</v>
      </c>
      <c r="F23">
        <v>90</v>
      </c>
      <c r="G23">
        <v>22</v>
      </c>
      <c r="H23">
        <v>68</v>
      </c>
    </row>
    <row r="24" spans="1:8">
      <c r="A24" t="s">
        <v>78</v>
      </c>
      <c r="B24">
        <v>490</v>
      </c>
      <c r="C24">
        <v>367</v>
      </c>
      <c r="D24">
        <v>25</v>
      </c>
      <c r="E24">
        <v>123</v>
      </c>
      <c r="F24">
        <v>66</v>
      </c>
      <c r="G24">
        <v>22</v>
      </c>
      <c r="H24">
        <v>44</v>
      </c>
    </row>
    <row r="25" spans="1:8">
      <c r="A25" t="s">
        <v>79</v>
      </c>
      <c r="B25">
        <v>800</v>
      </c>
      <c r="C25">
        <v>680</v>
      </c>
      <c r="D25">
        <v>15</v>
      </c>
      <c r="E25">
        <v>120</v>
      </c>
      <c r="F25">
        <v>222</v>
      </c>
      <c r="G25">
        <v>24</v>
      </c>
      <c r="H25">
        <v>198</v>
      </c>
    </row>
    <row r="26" spans="1:8">
      <c r="A26" t="s">
        <v>80</v>
      </c>
      <c r="B26">
        <v>700</v>
      </c>
      <c r="C26">
        <v>581</v>
      </c>
      <c r="D26">
        <v>17</v>
      </c>
      <c r="E26">
        <v>119</v>
      </c>
      <c r="F26">
        <v>152</v>
      </c>
      <c r="G26">
        <v>25</v>
      </c>
      <c r="H26">
        <v>127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8025-283F-4AA4-AD37-58770997A10F}">
  <dimension ref="A1:E6"/>
  <sheetViews>
    <sheetView workbookViewId="0">
      <selection activeCell="A24" sqref="A24"/>
    </sheetView>
  </sheetViews>
  <sheetFormatPr defaultRowHeight="14.25"/>
  <cols>
    <col min="1" max="1" width="12.59765625" bestFit="1" customWidth="1"/>
    <col min="2" max="2" width="10" bestFit="1" customWidth="1"/>
    <col min="3" max="3" width="16.6640625" bestFit="1" customWidth="1"/>
    <col min="4" max="4" width="20" bestFit="1" customWidth="1"/>
    <col min="5" max="5" width="20.265625" bestFit="1" customWidth="1"/>
  </cols>
  <sheetData>
    <row r="1" spans="1:5">
      <c r="A1" t="s">
        <v>39</v>
      </c>
      <c r="B1" t="s">
        <v>32</v>
      </c>
      <c r="C1" t="s">
        <v>40</v>
      </c>
      <c r="D1" t="s">
        <v>41</v>
      </c>
      <c r="E1" t="s">
        <v>42</v>
      </c>
    </row>
    <row r="2" spans="1:5">
      <c r="A2" t="s">
        <v>43</v>
      </c>
      <c r="B2">
        <v>849</v>
      </c>
      <c r="C2">
        <v>6.5</v>
      </c>
      <c r="D2">
        <v>5</v>
      </c>
      <c r="E2">
        <v>34.299999999999997</v>
      </c>
    </row>
    <row r="3" spans="1:5">
      <c r="A3" t="s">
        <v>44</v>
      </c>
      <c r="B3">
        <v>652</v>
      </c>
      <c r="C3">
        <v>8</v>
      </c>
      <c r="D3">
        <v>6</v>
      </c>
      <c r="E3">
        <v>25.6</v>
      </c>
    </row>
    <row r="4" spans="1:5">
      <c r="A4" t="s">
        <v>45</v>
      </c>
      <c r="B4">
        <v>239</v>
      </c>
      <c r="C4">
        <v>11</v>
      </c>
      <c r="D4">
        <v>10</v>
      </c>
      <c r="E4">
        <v>24.3</v>
      </c>
    </row>
    <row r="5" spans="1:5">
      <c r="A5" t="s">
        <v>46</v>
      </c>
      <c r="B5">
        <v>47</v>
      </c>
      <c r="C5">
        <v>7.2</v>
      </c>
      <c r="D5">
        <v>5</v>
      </c>
      <c r="E5">
        <v>36.200000000000003</v>
      </c>
    </row>
    <row r="6" spans="1:5">
      <c r="A6" t="s">
        <v>47</v>
      </c>
      <c r="B6">
        <v>13</v>
      </c>
      <c r="C6">
        <v>14.4</v>
      </c>
      <c r="D6">
        <v>10</v>
      </c>
      <c r="E6">
        <v>23.1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22EE-A883-4C3B-AEBD-F8F3D949BC9D}">
  <dimension ref="A1:C67"/>
  <sheetViews>
    <sheetView workbookViewId="0">
      <selection activeCell="B1" sqref="B1"/>
    </sheetView>
  </sheetViews>
  <sheetFormatPr defaultRowHeight="14.25"/>
  <cols>
    <col min="1" max="1" width="18" bestFit="1" customWidth="1"/>
    <col min="2" max="2" width="14.53125" bestFit="1" customWidth="1"/>
    <col min="3" max="3" width="8.59765625" bestFit="1" customWidth="1"/>
  </cols>
  <sheetData>
    <row r="1" spans="1:3">
      <c r="A1" t="s">
        <v>6</v>
      </c>
      <c r="B1" t="s">
        <v>31</v>
      </c>
      <c r="C1" t="s">
        <v>7</v>
      </c>
    </row>
    <row r="2" spans="1:3">
      <c r="A2" t="s">
        <v>16</v>
      </c>
      <c r="B2" t="s">
        <v>34</v>
      </c>
      <c r="C2">
        <v>47</v>
      </c>
    </row>
    <row r="3" spans="1:3">
      <c r="A3" t="s">
        <v>16</v>
      </c>
      <c r="B3" t="s">
        <v>35</v>
      </c>
      <c r="C3">
        <v>58</v>
      </c>
    </row>
    <row r="4" spans="1:3">
      <c r="A4" t="s">
        <v>16</v>
      </c>
      <c r="B4" t="s">
        <v>36</v>
      </c>
      <c r="C4">
        <v>12</v>
      </c>
    </row>
    <row r="5" spans="1:3">
      <c r="A5" t="s">
        <v>16</v>
      </c>
      <c r="B5" t="s">
        <v>37</v>
      </c>
      <c r="C5">
        <v>2</v>
      </c>
    </row>
    <row r="6" spans="1:3">
      <c r="A6" t="s">
        <v>16</v>
      </c>
      <c r="B6" t="s">
        <v>38</v>
      </c>
      <c r="C6">
        <v>10</v>
      </c>
    </row>
    <row r="7" spans="1:3">
      <c r="A7" t="s">
        <v>14</v>
      </c>
      <c r="B7" t="s">
        <v>34</v>
      </c>
      <c r="C7">
        <v>53</v>
      </c>
    </row>
    <row r="8" spans="1:3">
      <c r="A8" t="s">
        <v>14</v>
      </c>
      <c r="B8" t="s">
        <v>35</v>
      </c>
      <c r="C8">
        <v>57</v>
      </c>
    </row>
    <row r="9" spans="1:3">
      <c r="A9" t="s">
        <v>14</v>
      </c>
      <c r="B9" t="s">
        <v>36</v>
      </c>
      <c r="C9">
        <v>21</v>
      </c>
    </row>
    <row r="10" spans="1:3">
      <c r="A10" t="s">
        <v>14</v>
      </c>
      <c r="B10" t="s">
        <v>37</v>
      </c>
      <c r="C10">
        <v>11</v>
      </c>
    </row>
    <row r="11" spans="1:3">
      <c r="A11" t="s">
        <v>14</v>
      </c>
      <c r="B11" t="s">
        <v>38</v>
      </c>
      <c r="C11">
        <v>5</v>
      </c>
    </row>
    <row r="12" spans="1:3">
      <c r="A12" t="s">
        <v>25</v>
      </c>
      <c r="B12" t="s">
        <v>34</v>
      </c>
      <c r="C12">
        <v>132</v>
      </c>
    </row>
    <row r="13" spans="1:3">
      <c r="A13" t="s">
        <v>25</v>
      </c>
      <c r="B13" t="s">
        <v>35</v>
      </c>
      <c r="C13">
        <v>157</v>
      </c>
    </row>
    <row r="14" spans="1:3">
      <c r="A14" t="s">
        <v>25</v>
      </c>
      <c r="B14" t="s">
        <v>36</v>
      </c>
      <c r="C14">
        <v>62</v>
      </c>
    </row>
    <row r="15" spans="1:3">
      <c r="A15" t="s">
        <v>25</v>
      </c>
      <c r="B15" t="s">
        <v>37</v>
      </c>
      <c r="C15">
        <v>27</v>
      </c>
    </row>
    <row r="16" spans="1:3">
      <c r="A16" t="s">
        <v>25</v>
      </c>
      <c r="B16" t="s">
        <v>38</v>
      </c>
      <c r="C16">
        <v>10</v>
      </c>
    </row>
    <row r="17" spans="1:3">
      <c r="A17" t="s">
        <v>23</v>
      </c>
      <c r="B17" t="s">
        <v>34</v>
      </c>
      <c r="C17">
        <v>139</v>
      </c>
    </row>
    <row r="18" spans="1:3">
      <c r="A18" t="s">
        <v>23</v>
      </c>
      <c r="B18" t="s">
        <v>35</v>
      </c>
      <c r="C18">
        <v>288</v>
      </c>
    </row>
    <row r="19" spans="1:3">
      <c r="A19" t="s">
        <v>23</v>
      </c>
      <c r="B19" t="s">
        <v>36</v>
      </c>
      <c r="C19">
        <v>60</v>
      </c>
    </row>
    <row r="20" spans="1:3">
      <c r="A20" t="s">
        <v>23</v>
      </c>
      <c r="B20" t="s">
        <v>37</v>
      </c>
      <c r="C20">
        <v>17</v>
      </c>
    </row>
    <row r="21" spans="1:3">
      <c r="A21" t="s">
        <v>23</v>
      </c>
      <c r="B21" t="s">
        <v>38</v>
      </c>
      <c r="C21">
        <v>10</v>
      </c>
    </row>
    <row r="22" spans="1:3">
      <c r="A22" t="s">
        <v>18</v>
      </c>
      <c r="B22" t="s">
        <v>34</v>
      </c>
      <c r="C22">
        <v>47</v>
      </c>
    </row>
    <row r="23" spans="1:3">
      <c r="A23" t="s">
        <v>18</v>
      </c>
      <c r="B23" t="s">
        <v>35</v>
      </c>
      <c r="C23">
        <v>58</v>
      </c>
    </row>
    <row r="24" spans="1:3">
      <c r="A24" t="s">
        <v>18</v>
      </c>
      <c r="B24" t="s">
        <v>36</v>
      </c>
      <c r="C24">
        <v>12</v>
      </c>
    </row>
    <row r="25" spans="1:3">
      <c r="A25" t="s">
        <v>18</v>
      </c>
      <c r="B25" t="s">
        <v>37</v>
      </c>
      <c r="C25">
        <v>2</v>
      </c>
    </row>
    <row r="26" spans="1:3">
      <c r="A26" t="s">
        <v>18</v>
      </c>
      <c r="B26" t="s">
        <v>38</v>
      </c>
      <c r="C26">
        <v>10</v>
      </c>
    </row>
    <row r="27" spans="1:3">
      <c r="A27" t="s">
        <v>28</v>
      </c>
      <c r="B27" t="s">
        <v>35</v>
      </c>
      <c r="C27">
        <v>4</v>
      </c>
    </row>
    <row r="28" spans="1:3">
      <c r="A28" t="s">
        <v>28</v>
      </c>
      <c r="B28" t="s">
        <v>36</v>
      </c>
      <c r="C28">
        <v>87</v>
      </c>
    </row>
    <row r="29" spans="1:3">
      <c r="A29" t="s">
        <v>28</v>
      </c>
      <c r="B29" t="s">
        <v>37</v>
      </c>
      <c r="C29">
        <v>2</v>
      </c>
    </row>
    <row r="30" spans="1:3">
      <c r="A30" t="s">
        <v>21</v>
      </c>
      <c r="B30" t="s">
        <v>34</v>
      </c>
      <c r="C30">
        <v>25</v>
      </c>
    </row>
    <row r="31" spans="1:3">
      <c r="A31" t="s">
        <v>21</v>
      </c>
      <c r="B31" t="s">
        <v>35</v>
      </c>
      <c r="C31">
        <v>51</v>
      </c>
    </row>
    <row r="32" spans="1:3">
      <c r="A32" t="s">
        <v>21</v>
      </c>
      <c r="B32" t="s">
        <v>36</v>
      </c>
      <c r="C32">
        <v>16</v>
      </c>
    </row>
    <row r="33" spans="1:3">
      <c r="A33" t="s">
        <v>21</v>
      </c>
      <c r="B33" t="s">
        <v>37</v>
      </c>
      <c r="C33">
        <v>2</v>
      </c>
    </row>
    <row r="34" spans="1:3">
      <c r="A34" t="s">
        <v>21</v>
      </c>
      <c r="B34" t="s">
        <v>38</v>
      </c>
      <c r="C34">
        <v>3</v>
      </c>
    </row>
    <row r="35" spans="1:3">
      <c r="A35" t="s">
        <v>27</v>
      </c>
      <c r="B35" t="s">
        <v>34</v>
      </c>
      <c r="C35">
        <v>49</v>
      </c>
    </row>
    <row r="36" spans="1:3">
      <c r="A36" t="s">
        <v>27</v>
      </c>
      <c r="B36" t="s">
        <v>35</v>
      </c>
      <c r="C36">
        <v>126</v>
      </c>
    </row>
    <row r="37" spans="1:3">
      <c r="A37" t="s">
        <v>27</v>
      </c>
      <c r="B37" t="s">
        <v>36</v>
      </c>
      <c r="C37">
        <v>18</v>
      </c>
    </row>
    <row r="38" spans="1:3">
      <c r="A38" t="s">
        <v>24</v>
      </c>
      <c r="B38" t="s">
        <v>34</v>
      </c>
      <c r="C38">
        <v>132</v>
      </c>
    </row>
    <row r="39" spans="1:3">
      <c r="A39" t="s">
        <v>24</v>
      </c>
      <c r="B39" t="s">
        <v>35</v>
      </c>
      <c r="C39">
        <v>157</v>
      </c>
    </row>
    <row r="40" spans="1:3">
      <c r="A40" t="s">
        <v>24</v>
      </c>
      <c r="B40" t="s">
        <v>36</v>
      </c>
      <c r="C40">
        <v>62</v>
      </c>
    </row>
    <row r="41" spans="1:3">
      <c r="A41" t="s">
        <v>24</v>
      </c>
      <c r="B41" t="s">
        <v>37</v>
      </c>
      <c r="C41">
        <v>27</v>
      </c>
    </row>
    <row r="42" spans="1:3">
      <c r="A42" t="s">
        <v>24</v>
      </c>
      <c r="B42" t="s">
        <v>38</v>
      </c>
      <c r="C42">
        <v>10</v>
      </c>
    </row>
    <row r="43" spans="1:3">
      <c r="A43" t="s">
        <v>19</v>
      </c>
      <c r="B43" t="s">
        <v>34</v>
      </c>
      <c r="C43">
        <v>14</v>
      </c>
    </row>
    <row r="44" spans="1:3">
      <c r="A44" t="s">
        <v>19</v>
      </c>
      <c r="B44" t="s">
        <v>35</v>
      </c>
      <c r="C44">
        <v>31</v>
      </c>
    </row>
    <row r="45" spans="1:3">
      <c r="A45" t="s">
        <v>19</v>
      </c>
      <c r="B45" t="s">
        <v>36</v>
      </c>
      <c r="C45">
        <v>9</v>
      </c>
    </row>
    <row r="46" spans="1:3">
      <c r="A46" t="s">
        <v>19</v>
      </c>
      <c r="B46" t="s">
        <v>37</v>
      </c>
      <c r="C46">
        <v>4</v>
      </c>
    </row>
    <row r="47" spans="1:3">
      <c r="A47" t="s">
        <v>19</v>
      </c>
      <c r="B47" t="s">
        <v>38</v>
      </c>
      <c r="C47">
        <v>5</v>
      </c>
    </row>
    <row r="48" spans="1:3">
      <c r="A48" t="s">
        <v>22</v>
      </c>
      <c r="B48" t="s">
        <v>34</v>
      </c>
      <c r="C48">
        <v>139</v>
      </c>
    </row>
    <row r="49" spans="1:3">
      <c r="A49" t="s">
        <v>22</v>
      </c>
      <c r="B49" t="s">
        <v>35</v>
      </c>
      <c r="C49">
        <v>288</v>
      </c>
    </row>
    <row r="50" spans="1:3">
      <c r="A50" t="s">
        <v>22</v>
      </c>
      <c r="B50" t="s">
        <v>36</v>
      </c>
      <c r="C50">
        <v>60</v>
      </c>
    </row>
    <row r="51" spans="1:3">
      <c r="A51" t="s">
        <v>22</v>
      </c>
      <c r="B51" t="s">
        <v>37</v>
      </c>
      <c r="C51">
        <v>17</v>
      </c>
    </row>
    <row r="52" spans="1:3">
      <c r="A52" t="s">
        <v>22</v>
      </c>
      <c r="B52" t="s">
        <v>38</v>
      </c>
      <c r="C52">
        <v>10</v>
      </c>
    </row>
    <row r="53" spans="1:3">
      <c r="A53" t="s">
        <v>30</v>
      </c>
      <c r="B53" t="s">
        <v>34</v>
      </c>
      <c r="C53">
        <v>134</v>
      </c>
    </row>
    <row r="54" spans="1:3">
      <c r="A54" t="s">
        <v>30</v>
      </c>
      <c r="B54" t="s">
        <v>35</v>
      </c>
      <c r="C54">
        <v>154</v>
      </c>
    </row>
    <row r="55" spans="1:3">
      <c r="A55" t="s">
        <v>30</v>
      </c>
      <c r="B55" t="s">
        <v>36</v>
      </c>
      <c r="C55">
        <v>49</v>
      </c>
    </row>
    <row r="56" spans="1:3">
      <c r="A56" t="s">
        <v>30</v>
      </c>
      <c r="B56" t="s">
        <v>37</v>
      </c>
      <c r="C56">
        <v>4</v>
      </c>
    </row>
    <row r="57" spans="1:3">
      <c r="A57" t="s">
        <v>30</v>
      </c>
      <c r="B57" t="s">
        <v>38</v>
      </c>
      <c r="C57">
        <v>2</v>
      </c>
    </row>
    <row r="58" spans="1:3">
      <c r="A58" t="s">
        <v>26</v>
      </c>
      <c r="B58" t="s">
        <v>34</v>
      </c>
      <c r="C58">
        <v>132</v>
      </c>
    </row>
    <row r="59" spans="1:3">
      <c r="A59" t="s">
        <v>26</v>
      </c>
      <c r="B59" t="s">
        <v>35</v>
      </c>
      <c r="C59">
        <v>157</v>
      </c>
    </row>
    <row r="60" spans="1:3">
      <c r="A60" t="s">
        <v>26</v>
      </c>
      <c r="B60" t="s">
        <v>36</v>
      </c>
      <c r="C60">
        <v>62</v>
      </c>
    </row>
    <row r="61" spans="1:3">
      <c r="A61" t="s">
        <v>26</v>
      </c>
      <c r="B61" t="s">
        <v>37</v>
      </c>
      <c r="C61">
        <v>27</v>
      </c>
    </row>
    <row r="62" spans="1:3">
      <c r="A62" t="s">
        <v>26</v>
      </c>
      <c r="B62" t="s">
        <v>38</v>
      </c>
      <c r="C62">
        <v>10</v>
      </c>
    </row>
    <row r="63" spans="1:3">
      <c r="A63" t="s">
        <v>29</v>
      </c>
      <c r="B63" t="s">
        <v>34</v>
      </c>
      <c r="C63">
        <v>134</v>
      </c>
    </row>
    <row r="64" spans="1:3">
      <c r="A64" t="s">
        <v>29</v>
      </c>
      <c r="B64" t="s">
        <v>35</v>
      </c>
      <c r="C64">
        <v>154</v>
      </c>
    </row>
    <row r="65" spans="1:3">
      <c r="A65" t="s">
        <v>29</v>
      </c>
      <c r="B65" t="s">
        <v>36</v>
      </c>
      <c r="C65">
        <v>49</v>
      </c>
    </row>
    <row r="66" spans="1:3">
      <c r="A66" t="s">
        <v>29</v>
      </c>
      <c r="B66" t="s">
        <v>37</v>
      </c>
      <c r="C66">
        <v>4</v>
      </c>
    </row>
    <row r="67" spans="1:3">
      <c r="A67" t="s">
        <v>29</v>
      </c>
      <c r="B67" t="s">
        <v>38</v>
      </c>
      <c r="C67">
        <v>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2B25-B45D-4210-A381-D10D6B2CC8E3}">
  <dimension ref="A1:C6"/>
  <sheetViews>
    <sheetView workbookViewId="0">
      <selection activeCell="F8" sqref="F8"/>
    </sheetView>
  </sheetViews>
  <sheetFormatPr defaultRowHeight="14.25"/>
  <cols>
    <col min="1" max="1" width="14.53125" bestFit="1" customWidth="1"/>
    <col min="2" max="2" width="10" bestFit="1" customWidth="1"/>
    <col min="3" max="3" width="15.796875" bestFit="1" customWidth="1"/>
  </cols>
  <sheetData>
    <row r="1" spans="1:3">
      <c r="A1" t="s">
        <v>31</v>
      </c>
      <c r="B1" t="s">
        <v>32</v>
      </c>
      <c r="C1" t="s">
        <v>33</v>
      </c>
    </row>
    <row r="2" spans="1:3">
      <c r="A2" t="s">
        <v>34</v>
      </c>
      <c r="B2">
        <v>536</v>
      </c>
      <c r="C2">
        <v>29.8</v>
      </c>
    </row>
    <row r="3" spans="1:3">
      <c r="A3" t="s">
        <v>35</v>
      </c>
      <c r="B3">
        <v>852</v>
      </c>
      <c r="C3">
        <v>47.3</v>
      </c>
    </row>
    <row r="4" spans="1:3">
      <c r="A4" t="s">
        <v>36</v>
      </c>
      <c r="B4">
        <v>311</v>
      </c>
      <c r="C4">
        <v>17.3</v>
      </c>
    </row>
    <row r="5" spans="1:3">
      <c r="A5" t="s">
        <v>37</v>
      </c>
      <c r="B5">
        <v>64</v>
      </c>
      <c r="C5">
        <v>3.6</v>
      </c>
    </row>
    <row r="6" spans="1:3">
      <c r="A6" t="s">
        <v>38</v>
      </c>
      <c r="B6">
        <v>37</v>
      </c>
      <c r="C6">
        <v>2.1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45F3-711D-462D-967E-4EFA75E10B41}">
  <dimension ref="A1:H15"/>
  <sheetViews>
    <sheetView workbookViewId="0">
      <selection activeCell="E25" sqref="E25"/>
    </sheetView>
  </sheetViews>
  <sheetFormatPr defaultRowHeight="14.25"/>
  <cols>
    <col min="1" max="1" width="19.06640625" customWidth="1"/>
    <col min="2" max="2" width="11.796875" customWidth="1"/>
    <col min="3" max="3" width="14.46484375" customWidth="1"/>
    <col min="4" max="4" width="11.6640625" customWidth="1"/>
    <col min="5" max="5" width="13.796875" bestFit="1" customWidth="1"/>
    <col min="6" max="6" width="11.73046875" bestFit="1" customWidth="1"/>
    <col min="7" max="7" width="15.9296875" bestFit="1" customWidth="1"/>
    <col min="8" max="8" width="15.1328125" bestFit="1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14</v>
      </c>
      <c r="B2">
        <v>147</v>
      </c>
      <c r="C2">
        <v>42</v>
      </c>
      <c r="D2">
        <v>28.6</v>
      </c>
      <c r="E2">
        <v>16.399999999999999</v>
      </c>
      <c r="F2">
        <v>1</v>
      </c>
      <c r="G2">
        <v>0</v>
      </c>
      <c r="H2" t="s">
        <v>15</v>
      </c>
    </row>
    <row r="3" spans="1:8">
      <c r="A3" t="s">
        <v>16</v>
      </c>
      <c r="B3">
        <v>129</v>
      </c>
      <c r="C3">
        <v>28</v>
      </c>
      <c r="D3">
        <v>21.7</v>
      </c>
      <c r="E3">
        <v>9.6</v>
      </c>
      <c r="F3">
        <v>2</v>
      </c>
      <c r="G3">
        <v>100</v>
      </c>
      <c r="H3" t="s">
        <v>17</v>
      </c>
    </row>
    <row r="4" spans="1:8">
      <c r="A4" t="s">
        <v>18</v>
      </c>
      <c r="B4">
        <v>129</v>
      </c>
      <c r="C4">
        <v>28</v>
      </c>
      <c r="D4">
        <v>21.7</v>
      </c>
      <c r="E4">
        <v>9.6</v>
      </c>
      <c r="F4">
        <v>2</v>
      </c>
      <c r="G4">
        <v>100</v>
      </c>
      <c r="H4" t="s">
        <v>17</v>
      </c>
    </row>
    <row r="5" spans="1:8">
      <c r="A5" t="s">
        <v>19</v>
      </c>
      <c r="B5">
        <v>63</v>
      </c>
      <c r="C5">
        <v>12</v>
      </c>
      <c r="D5">
        <v>19</v>
      </c>
      <c r="E5">
        <v>6.9</v>
      </c>
      <c r="F5">
        <v>4</v>
      </c>
      <c r="G5">
        <v>49.2</v>
      </c>
      <c r="H5" t="s">
        <v>20</v>
      </c>
    </row>
    <row r="6" spans="1:8">
      <c r="A6" t="s">
        <v>21</v>
      </c>
      <c r="B6">
        <v>97</v>
      </c>
      <c r="C6">
        <v>13</v>
      </c>
      <c r="D6">
        <v>13.4</v>
      </c>
      <c r="E6">
        <v>1.3</v>
      </c>
      <c r="F6">
        <v>5</v>
      </c>
      <c r="G6">
        <v>36.1</v>
      </c>
      <c r="H6" t="s">
        <v>20</v>
      </c>
    </row>
    <row r="7" spans="1:8">
      <c r="A7" t="s">
        <v>22</v>
      </c>
      <c r="B7">
        <v>514</v>
      </c>
      <c r="C7">
        <v>64</v>
      </c>
      <c r="D7">
        <v>12.5</v>
      </c>
      <c r="E7">
        <v>0.3</v>
      </c>
      <c r="F7">
        <v>6</v>
      </c>
      <c r="G7">
        <v>100</v>
      </c>
      <c r="H7" t="s">
        <v>17</v>
      </c>
    </row>
    <row r="8" spans="1:8">
      <c r="A8" t="s">
        <v>23</v>
      </c>
      <c r="B8">
        <v>514</v>
      </c>
      <c r="C8">
        <v>64</v>
      </c>
      <c r="D8">
        <v>12.5</v>
      </c>
      <c r="E8">
        <v>0.3</v>
      </c>
      <c r="F8">
        <v>6</v>
      </c>
      <c r="G8">
        <v>100</v>
      </c>
      <c r="H8" t="s">
        <v>17</v>
      </c>
    </row>
    <row r="9" spans="1:8">
      <c r="A9" t="s">
        <v>24</v>
      </c>
      <c r="B9">
        <v>388</v>
      </c>
      <c r="C9">
        <v>45</v>
      </c>
      <c r="D9">
        <v>11.6</v>
      </c>
      <c r="E9">
        <v>-0.6</v>
      </c>
      <c r="F9">
        <v>8</v>
      </c>
      <c r="G9">
        <v>100</v>
      </c>
      <c r="H9" t="s">
        <v>17</v>
      </c>
    </row>
    <row r="10" spans="1:8">
      <c r="A10" t="s">
        <v>25</v>
      </c>
      <c r="B10">
        <v>388</v>
      </c>
      <c r="C10">
        <v>45</v>
      </c>
      <c r="D10">
        <v>11.6</v>
      </c>
      <c r="E10">
        <v>-0.6</v>
      </c>
      <c r="F10">
        <v>8</v>
      </c>
      <c r="G10">
        <v>100</v>
      </c>
      <c r="H10" t="s">
        <v>17</v>
      </c>
    </row>
    <row r="11" spans="1:8">
      <c r="A11" t="s">
        <v>26</v>
      </c>
      <c r="B11">
        <v>388</v>
      </c>
      <c r="C11">
        <v>45</v>
      </c>
      <c r="D11">
        <v>11.6</v>
      </c>
      <c r="E11">
        <v>-0.6</v>
      </c>
      <c r="F11">
        <v>8</v>
      </c>
      <c r="G11">
        <v>100</v>
      </c>
      <c r="H11" t="s">
        <v>17</v>
      </c>
    </row>
    <row r="12" spans="1:8">
      <c r="A12" t="s">
        <v>27</v>
      </c>
      <c r="B12">
        <v>193</v>
      </c>
      <c r="C12">
        <v>19</v>
      </c>
      <c r="D12">
        <v>9.8000000000000007</v>
      </c>
      <c r="E12">
        <v>-2.2999999999999998</v>
      </c>
      <c r="F12">
        <v>11</v>
      </c>
      <c r="G12">
        <v>2.1</v>
      </c>
      <c r="H12" t="s">
        <v>15</v>
      </c>
    </row>
    <row r="13" spans="1:8">
      <c r="A13" t="s">
        <v>28</v>
      </c>
      <c r="B13">
        <v>93</v>
      </c>
      <c r="C13">
        <v>6</v>
      </c>
      <c r="D13">
        <v>6.5</v>
      </c>
      <c r="E13">
        <v>-5.7</v>
      </c>
      <c r="F13">
        <v>12</v>
      </c>
      <c r="G13">
        <v>4.3</v>
      </c>
      <c r="H13" t="s">
        <v>15</v>
      </c>
    </row>
    <row r="14" spans="1:8">
      <c r="A14" t="s">
        <v>29</v>
      </c>
      <c r="B14">
        <v>343</v>
      </c>
      <c r="C14">
        <v>21</v>
      </c>
      <c r="D14">
        <v>6.1</v>
      </c>
      <c r="E14">
        <v>-6</v>
      </c>
      <c r="F14">
        <v>13</v>
      </c>
      <c r="G14">
        <v>100</v>
      </c>
      <c r="H14" t="s">
        <v>17</v>
      </c>
    </row>
    <row r="15" spans="1:8">
      <c r="A15" t="s">
        <v>30</v>
      </c>
      <c r="B15">
        <v>343</v>
      </c>
      <c r="C15">
        <v>21</v>
      </c>
      <c r="D15">
        <v>6.1</v>
      </c>
      <c r="E15">
        <v>-6</v>
      </c>
      <c r="F15">
        <v>13</v>
      </c>
      <c r="G15">
        <v>100</v>
      </c>
      <c r="H15" t="s">
        <v>17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9582-BD2D-4857-A71F-A019ABCA59B1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076B-D8EE-4083-96FE-1FFB1275530A}">
  <dimension ref="A1:F2"/>
  <sheetViews>
    <sheetView tabSelected="1" workbookViewId="0">
      <selection activeCell="F17" sqref="F17"/>
    </sheetView>
  </sheetViews>
  <sheetFormatPr defaultRowHeight="14.25"/>
  <cols>
    <col min="1" max="1" width="13.06640625" bestFit="1" customWidth="1"/>
    <col min="2" max="2" width="16.33203125" bestFit="1" customWidth="1"/>
    <col min="3" max="3" width="22.6640625" bestFit="1" customWidth="1"/>
    <col min="4" max="4" width="29.1328125" bestFit="1" customWidth="1"/>
    <col min="5" max="5" width="18.1328125" bestFit="1" customWidth="1"/>
    <col min="6" max="6" width="26.3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3729</v>
      </c>
      <c r="B2">
        <v>1800</v>
      </c>
      <c r="C2">
        <v>2.0699999999999998</v>
      </c>
      <c r="D2">
        <v>1281</v>
      </c>
      <c r="E2">
        <v>71.2</v>
      </c>
      <c r="F2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E9AEB-5692-45E8-9616-873E9EE21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Q10</vt:lpstr>
      <vt:lpstr>Dashboard</vt:lpstr>
      <vt:lpstr>Q09c</vt:lpstr>
      <vt:lpstr>Q09b</vt:lpstr>
      <vt:lpstr>pivot Q8</vt:lpstr>
      <vt:lpstr>Restock_Model</vt:lpstr>
      <vt:lpstr>Top20</vt:lpstr>
      <vt:lpstr>Sensitivity</vt:lpstr>
      <vt:lpstr>Q08</vt:lpstr>
      <vt:lpstr>Q06</vt:lpstr>
      <vt:lpstr>Q05a</vt:lpstr>
      <vt:lpstr>Q04b</vt:lpstr>
      <vt:lpstr>Q04a</vt:lpstr>
      <vt:lpstr>Q02</vt:lpstr>
      <vt:lpstr>Sheet3</vt:lpstr>
      <vt:lpstr>Q01a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vinayvipparti.in@gmail.com</dc:creator>
  <cp:lastModifiedBy>vinayvipparti.in@gmail.com</cp:lastModifiedBy>
  <dcterms:created xsi:type="dcterms:W3CDTF">2026-10-22T09:39:11Z</dcterms:created>
  <dcterms:modified xsi:type="dcterms:W3CDTF">2026-10-23T07:55:13Z</dcterms:modified>
</cp:coreProperties>
</file>